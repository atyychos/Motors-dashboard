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7CA5104F-84CE-4F57-B51A-5FF540888ECC}"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Pivot Table"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3" l="1"/>
  <c r="A65" i="2"/>
  <c r="A62" i="2"/>
  <c r="H2" i="3"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<sst xmlns="http://schemas.openxmlformats.org/spreadsheetml/2006/main" count="8056" uniqueCount="51">
  <si>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</si>
  <si>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</si>
  <si>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</si>
  <si>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</si>
  <si>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</si>
  <si>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</si>
  <si>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</si>
  <si>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</si>
  <si>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</si>
  <si>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</si>
  <si>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</si>
  <si>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</si>
  <si>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</si>
  <si>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</si>
  <si>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</si>
  <si>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</si>
  <si>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</si>
  <si>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</si>
  <si>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</si>
  <si>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</si>
  <si>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</si>
  <si>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</si>
  <si>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</si>
  <si>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</si>
  <si>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</si>
  <si>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</si>
  <si>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</si>
  <si>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</si>
  <si>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</si>
  <si>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</si>
  <si>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</si>
  <si>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</si>
  <si>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</si>
  <si>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</si>
  <si>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</si>
  <si>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</si>
  <si>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</si>
  <si>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Column Labels</t>
  </si>
  <si>
    <t>Grand Total</t>
  </si>
  <si>
    <t>Row Labels</t>
  </si>
  <si>
    <t>Average of Income</t>
  </si>
  <si>
    <t>Count of Purchased Bike</t>
  </si>
  <si>
    <t xml:space="preserve">More than 10 Miles </t>
  </si>
  <si>
    <t>Middle Age</t>
  </si>
  <si>
    <t>Old</t>
  </si>
  <si>
    <t>Juvenile</t>
  </si>
  <si>
    <t xml:space="preserve">Bike Sales Dashboard </t>
  </si>
  <si>
    <t>Number of Bike Purchased</t>
  </si>
  <si>
    <t xml:space="preserve">Number of Home Owner </t>
  </si>
  <si>
    <t>Count of Gender</t>
  </si>
  <si>
    <t>Count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</si>
</sst>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
      <b/>
      <sz val="2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vertical="center"/>
    </xf>
    <xf numFmtId="0" fontId="0" fillId="33" borderId="0" xfId="0" applyFill="1"/>
    <xf numFmtId="0" fontId="20" fillId="34" borderId="0" xfId="0" applyFont="1" applyFill="1" applyAlignment="1">
      <alignment horizontal="right" vertical="center"/>
    </xf>
    <xf numFmtId="0" fontId="19" fillId="34" borderId="0" xfId="0" applyFont="1" applyFill="1" applyAlignment="1">
      <alignment horizontal="right" vertical="center"/>
    </xf>
    <xf numFmtId="0" fontId="0" fillId="0" borderId="0" xfId="0"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Based on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0AC0-4C52-989F-C937BAFCD69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0AC0-4C52-989F-C937BAFCD69D}"/>
            </c:ext>
          </c:extLst>
        </c:ser>
        <c:dLbls>
          <c:showLegendKey val="0"/>
          <c:showVal val="0"/>
          <c:showCatName val="0"/>
          <c:showSerName val="0"/>
          <c:showPercent val="0"/>
          <c:showBubbleSize val="0"/>
        </c:dLbls>
        <c:gapWidth val="219"/>
        <c:overlap val="-27"/>
        <c:axId val="1464455856"/>
        <c:axId val="1464461136"/>
      </c:barChart>
      <c:catAx>
        <c:axId val="146445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61136"/>
        <c:crosses val="autoZero"/>
        <c:auto val="1"/>
        <c:lblAlgn val="ctr"/>
        <c:lblOffset val="100"/>
        <c:noMultiLvlLbl val="0"/>
      </c:catAx>
      <c:valAx>
        <c:axId val="146446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55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Table'!$B$29:$B$30</c:f>
              <c:strCache>
                <c:ptCount val="1"/>
                <c:pt idx="0">
                  <c:v>No</c:v>
                </c:pt>
              </c:strCache>
            </c:strRef>
          </c:tx>
          <c:spPr>
            <a:ln w="28575" cap="rnd">
              <a:solidFill>
                <a:schemeClr val="accent1"/>
              </a:solidFill>
              <a:round/>
            </a:ln>
            <a:effectLst/>
          </c:spPr>
          <c:marker>
            <c:symbol val="none"/>
          </c:marker>
          <c:cat>
            <c:strRef>
              <c:f>'Pivot Table'!$A$31:$A$36</c:f>
              <c:strCache>
                <c:ptCount val="5"/>
                <c:pt idx="0">
                  <c:v>0-1 Miles</c:v>
                </c:pt>
                <c:pt idx="1">
                  <c:v>1-2 Miles</c:v>
                </c:pt>
                <c:pt idx="2">
                  <c:v>2-5 Miles</c:v>
                </c:pt>
                <c:pt idx="3">
                  <c:v>5-10 Miles</c:v>
                </c:pt>
                <c:pt idx="4">
                  <c:v>More than 10 Miles </c:v>
                </c:pt>
              </c:strCache>
            </c:strRef>
          </c:cat>
          <c:val>
            <c:numRef>
              <c:f>'Pivot Table'!$B$31:$B$36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23A-4B27-8D9D-DBD7186B9C9B}"/>
            </c:ext>
          </c:extLst>
        </c:ser>
        <c:ser>
          <c:idx val="1"/>
          <c:order val="1"/>
          <c:tx>
            <c:strRef>
              <c:f>'Pivot Table'!$C$29:$C$30</c:f>
              <c:strCache>
                <c:ptCount val="1"/>
                <c:pt idx="0">
                  <c:v>Yes</c:v>
                </c:pt>
              </c:strCache>
            </c:strRef>
          </c:tx>
          <c:spPr>
            <a:ln w="28575" cap="rnd">
              <a:solidFill>
                <a:schemeClr val="accent2"/>
              </a:solidFill>
              <a:round/>
            </a:ln>
            <a:effectLst/>
          </c:spPr>
          <c:marker>
            <c:symbol val="none"/>
          </c:marker>
          <c:cat>
            <c:strRef>
              <c:f>'Pivot Table'!$A$31:$A$36</c:f>
              <c:strCache>
                <c:ptCount val="5"/>
                <c:pt idx="0">
                  <c:v>0-1 Miles</c:v>
                </c:pt>
                <c:pt idx="1">
                  <c:v>1-2 Miles</c:v>
                </c:pt>
                <c:pt idx="2">
                  <c:v>2-5 Miles</c:v>
                </c:pt>
                <c:pt idx="3">
                  <c:v>5-10 Miles</c:v>
                </c:pt>
                <c:pt idx="4">
                  <c:v>More than 10 Miles </c:v>
                </c:pt>
              </c:strCache>
            </c:strRef>
          </c:cat>
          <c:val>
            <c:numRef>
              <c:f>'Pivot Table'!$C$31:$C$36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23A-4B27-8D9D-DBD7186B9C9B}"/>
            </c:ext>
          </c:extLst>
        </c:ser>
        <c:dLbls>
          <c:showLegendKey val="0"/>
          <c:showVal val="0"/>
          <c:showCatName val="0"/>
          <c:showSerName val="0"/>
          <c:showPercent val="0"/>
          <c:showBubbleSize val="0"/>
        </c:dLbls>
        <c:smooth val="0"/>
        <c:axId val="1464424656"/>
        <c:axId val="1464414096"/>
      </c:lineChart>
      <c:catAx>
        <c:axId val="1464424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14096"/>
        <c:crosses val="autoZero"/>
        <c:auto val="1"/>
        <c:lblAlgn val="ctr"/>
        <c:lblOffset val="100"/>
        <c:noMultiLvlLbl val="0"/>
      </c:catAx>
      <c:valAx>
        <c:axId val="146441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2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Juvenile</c:v>
                </c:pt>
                <c:pt idx="1">
                  <c:v>Middle Age</c:v>
                </c:pt>
                <c:pt idx="2">
                  <c:v>Old</c:v>
                </c:pt>
              </c:strCache>
            </c:strRef>
          </c:cat>
          <c:val>
            <c:numRef>
              <c:f>'Pivot Table'!$B$48:$B$51</c:f>
              <c:numCache>
                <c:formatCode>General</c:formatCode>
                <c:ptCount val="3"/>
                <c:pt idx="0">
                  <c:v>48</c:v>
                </c:pt>
                <c:pt idx="1">
                  <c:v>293</c:v>
                </c:pt>
                <c:pt idx="2">
                  <c:v>178</c:v>
                </c:pt>
              </c:numCache>
            </c:numRef>
          </c:val>
          <c:smooth val="0"/>
          <c:extLst>
            <c:ext xmlns:c16="http://schemas.microsoft.com/office/drawing/2014/chart" uri="{C3380CC4-5D6E-409C-BE32-E72D297353CC}">
              <c16:uniqueId val="{00000000-9614-4A43-AB18-29836727C947}"/>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Juvenile</c:v>
                </c:pt>
                <c:pt idx="1">
                  <c:v>Middle Age</c:v>
                </c:pt>
                <c:pt idx="2">
                  <c:v>Old</c:v>
                </c:pt>
              </c:strCache>
            </c:strRef>
          </c:cat>
          <c:val>
            <c:numRef>
              <c:f>'Pivot Table'!$C$48:$C$51</c:f>
              <c:numCache>
                <c:formatCode>General</c:formatCode>
                <c:ptCount val="3"/>
                <c:pt idx="0">
                  <c:v>35</c:v>
                </c:pt>
                <c:pt idx="1">
                  <c:v>324</c:v>
                </c:pt>
                <c:pt idx="2">
                  <c:v>122</c:v>
                </c:pt>
              </c:numCache>
            </c:numRef>
          </c:val>
          <c:smooth val="0"/>
          <c:extLst>
            <c:ext xmlns:c16="http://schemas.microsoft.com/office/drawing/2014/chart" uri="{C3380CC4-5D6E-409C-BE32-E72D297353CC}">
              <c16:uniqueId val="{00000001-9614-4A43-AB18-29836727C947}"/>
            </c:ext>
          </c:extLst>
        </c:ser>
        <c:dLbls>
          <c:showLegendKey val="0"/>
          <c:showVal val="0"/>
          <c:showCatName val="0"/>
          <c:showSerName val="0"/>
          <c:showPercent val="0"/>
          <c:showBubbleSize val="0"/>
        </c:dLbls>
        <c:marker val="1"/>
        <c:smooth val="0"/>
        <c:axId val="1464417936"/>
        <c:axId val="1464428016"/>
      </c:lineChart>
      <c:catAx>
        <c:axId val="146441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28016"/>
        <c:crosses val="autoZero"/>
        <c:auto val="1"/>
        <c:lblAlgn val="ctr"/>
        <c:lblOffset val="100"/>
        <c:noMultiLvlLbl val="0"/>
      </c:catAx>
      <c:valAx>
        <c:axId val="146442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Based on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76200" dir="18900000" sy="23000" kx="-1200000" algn="bl" rotWithShape="0">
              <a:prstClr val="black">
                <a:alpha val="20000"/>
              </a:prstClr>
            </a:outerShdw>
          </a:effectLst>
          <a:scene3d>
            <a:camera prst="orthographicFront"/>
            <a:lightRig rig="threePt" dir="t">
              <a:rot lat="0" lon="0" rev="0"/>
            </a:lightRig>
          </a:scene3d>
          <a:sp3d>
            <a:bevelT w="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76200" dir="18900000" sy="23000" kx="-1200000" algn="bl" rotWithShape="0">
              <a:prstClr val="black">
                <a:alpha val="20000"/>
              </a:prstClr>
            </a:outerShdw>
          </a:effectLst>
          <a:scene3d>
            <a:camera prst="orthographicFront"/>
            <a:lightRig rig="threePt" dir="t">
              <a:rot lat="0" lon="0" rev="0"/>
            </a:lightRig>
          </a:scene3d>
          <a:sp3d>
            <a:bevelT w="12700"/>
          </a:sp3d>
        </c:spPr>
      </c:pivotFmt>
      <c:pivotFmt>
        <c:idx val="2"/>
        <c:spPr>
          <a:solidFill>
            <a:schemeClr val="accent1"/>
          </a:solidFill>
          <a:ln w="19050">
            <a:solidFill>
              <a:schemeClr val="lt1"/>
            </a:solidFill>
          </a:ln>
          <a:effectLst>
            <a:outerShdw blurRad="76200" dir="18900000" sy="23000" kx="-1200000" algn="bl" rotWithShape="0">
              <a:prstClr val="black">
                <a:alpha val="20000"/>
              </a:prstClr>
            </a:outerShdw>
          </a:effectLst>
          <a:scene3d>
            <a:camera prst="orthographicFront"/>
            <a:lightRig rig="threePt" dir="t">
              <a:rot lat="0" lon="0" rev="0"/>
            </a:lightRig>
          </a:scene3d>
          <a:sp3d>
            <a:bevelT w="12700"/>
          </a:sp3d>
        </c:spPr>
      </c:pivotFmt>
    </c:pivotFmts>
    <c:plotArea>
      <c:layout/>
      <c:doughnutChart>
        <c:varyColors val="1"/>
        <c:ser>
          <c:idx val="0"/>
          <c:order val="0"/>
          <c:tx>
            <c:strRef>
              <c:f>'Pivot Table'!$C$70</c:f>
              <c:strCache>
                <c:ptCount val="1"/>
                <c:pt idx="0">
                  <c:v>Total</c:v>
                </c:pt>
              </c:strCache>
            </c:strRef>
          </c:tx>
          <c:spPr>
            <a:effectLst>
              <a:outerShdw blurRad="76200" dir="18900000" sy="23000" kx="-1200000" algn="bl" rotWithShape="0">
                <a:prstClr val="black">
                  <a:alpha val="20000"/>
                </a:prstClr>
              </a:outerShdw>
            </a:effectLst>
            <a:scene3d>
              <a:camera prst="orthographicFront"/>
              <a:lightRig rig="threePt" dir="t">
                <a:rot lat="0" lon="0" rev="0"/>
              </a:lightRig>
            </a:scene3d>
            <a:sp3d>
              <a:bevelT w="12700"/>
            </a:sp3d>
          </c:spPr>
          <c:dPt>
            <c:idx val="0"/>
            <c:bubble3D val="0"/>
            <c:spPr>
              <a:solidFill>
                <a:schemeClr val="accent1"/>
              </a:solidFill>
              <a:ln w="19050">
                <a:solidFill>
                  <a:schemeClr val="lt1"/>
                </a:solidFill>
              </a:ln>
              <a:effectLst>
                <a:outerShdw blurRad="76200" dir="18900000" sy="23000" kx="-1200000" algn="bl" rotWithShape="0">
                  <a:prstClr val="black">
                    <a:alpha val="20000"/>
                  </a:prstClr>
                </a:outerShdw>
              </a:effectLst>
              <a:scene3d>
                <a:camera prst="orthographicFront"/>
                <a:lightRig rig="threePt" dir="t">
                  <a:rot lat="0" lon="0" rev="0"/>
                </a:lightRig>
              </a:scene3d>
              <a:sp3d>
                <a:bevelT w="12700"/>
              </a:sp3d>
            </c:spPr>
            <c:extLst>
              <c:ext xmlns:c16="http://schemas.microsoft.com/office/drawing/2014/chart" uri="{C3380CC4-5D6E-409C-BE32-E72D297353CC}">
                <c16:uniqueId val="{00000001-986D-41C3-8685-87A01DA6E4A4}"/>
              </c:ext>
            </c:extLst>
          </c:dPt>
          <c:dPt>
            <c:idx val="1"/>
            <c:bubble3D val="0"/>
            <c:spPr>
              <a:solidFill>
                <a:schemeClr val="accent2"/>
              </a:solidFill>
              <a:ln w="19050">
                <a:solidFill>
                  <a:schemeClr val="lt1"/>
                </a:solidFill>
              </a:ln>
              <a:effectLst>
                <a:outerShdw blurRad="76200" dir="18900000" sy="23000" kx="-1200000" algn="bl" rotWithShape="0">
                  <a:prstClr val="black">
                    <a:alpha val="20000"/>
                  </a:prstClr>
                </a:outerShdw>
              </a:effectLst>
              <a:scene3d>
                <a:camera prst="orthographicFront"/>
                <a:lightRig rig="threePt" dir="t">
                  <a:rot lat="0" lon="0" rev="0"/>
                </a:lightRig>
              </a:scene3d>
              <a:sp3d>
                <a:bevelT w="12700"/>
              </a:sp3d>
            </c:spPr>
            <c:extLst>
              <c:ext xmlns:c16="http://schemas.microsoft.com/office/drawing/2014/chart" uri="{C3380CC4-5D6E-409C-BE32-E72D297353CC}">
                <c16:uniqueId val="{00000003-986D-41C3-8685-87A01DA6E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Table'!$B$71:$B$73</c:f>
              <c:strCache>
                <c:ptCount val="2"/>
                <c:pt idx="0">
                  <c:v>Female</c:v>
                </c:pt>
                <c:pt idx="1">
                  <c:v>Male</c:v>
                </c:pt>
              </c:strCache>
            </c:strRef>
          </c:cat>
          <c:val>
            <c:numRef>
              <c:f>'Pivot Table'!$C$71:$C$73</c:f>
              <c:numCache>
                <c:formatCode>General</c:formatCode>
                <c:ptCount val="2"/>
                <c:pt idx="0">
                  <c:v>489</c:v>
                </c:pt>
                <c:pt idx="1">
                  <c:v>511</c:v>
                </c:pt>
              </c:numCache>
            </c:numRef>
          </c:val>
          <c:extLst>
            <c:ext xmlns:c16="http://schemas.microsoft.com/office/drawing/2014/chart" uri="{C3380CC4-5D6E-409C-BE32-E72D297353CC}">
              <c16:uniqueId val="{00000000-01E6-472B-898F-8202CE4049F7}"/>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Based on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Table'!$B$77</c:f>
              <c:strCache>
                <c:ptCount val="1"/>
                <c:pt idx="0">
                  <c:v>Total</c:v>
                </c:pt>
              </c:strCache>
            </c:strRef>
          </c:tx>
          <c:spPr>
            <a:solidFill>
              <a:schemeClr val="accent1"/>
            </a:solidFill>
            <a:ln>
              <a:noFill/>
            </a:ln>
            <a:effectLst/>
          </c:spPr>
          <c:invertIfNegative val="0"/>
          <c:cat>
            <c:strRef>
              <c:f>'Pivot Table'!$A$78:$A$131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Table'!$B$78:$B$131</c:f>
              <c:numCache>
                <c:formatCode>General</c:formatCode>
                <c:ptCount val="53"/>
                <c:pt idx="0">
                  <c:v>6</c:v>
                </c:pt>
                <c:pt idx="1">
                  <c:v>16</c:v>
                </c:pt>
                <c:pt idx="2">
                  <c:v>23</c:v>
                </c:pt>
                <c:pt idx="3">
                  <c:v>22</c:v>
                </c:pt>
                <c:pt idx="4">
                  <c:v>16</c:v>
                </c:pt>
                <c:pt idx="5">
                  <c:v>27</c:v>
                </c:pt>
                <c:pt idx="6">
                  <c:v>25</c:v>
                </c:pt>
                <c:pt idx="7">
                  <c:v>33</c:v>
                </c:pt>
                <c:pt idx="8">
                  <c:v>21</c:v>
                </c:pt>
                <c:pt idx="9">
                  <c:v>31</c:v>
                </c:pt>
                <c:pt idx="10">
                  <c:v>36</c:v>
                </c:pt>
                <c:pt idx="11">
                  <c:v>37</c:v>
                </c:pt>
                <c:pt idx="12">
                  <c:v>32</c:v>
                </c:pt>
                <c:pt idx="13">
                  <c:v>37</c:v>
                </c:pt>
                <c:pt idx="14">
                  <c:v>22</c:v>
                </c:pt>
                <c:pt idx="15">
                  <c:v>42</c:v>
                </c:pt>
                <c:pt idx="16">
                  <c:v>28</c:v>
                </c:pt>
                <c:pt idx="17">
                  <c:v>34</c:v>
                </c:pt>
                <c:pt idx="18">
                  <c:v>36</c:v>
                </c:pt>
                <c:pt idx="19">
                  <c:v>27</c:v>
                </c:pt>
                <c:pt idx="20">
                  <c:v>31</c:v>
                </c:pt>
                <c:pt idx="21">
                  <c:v>27</c:v>
                </c:pt>
                <c:pt idx="22">
                  <c:v>39</c:v>
                </c:pt>
                <c:pt idx="23">
                  <c:v>29</c:v>
                </c:pt>
                <c:pt idx="24">
                  <c:v>23</c:v>
                </c:pt>
                <c:pt idx="25">
                  <c:v>24</c:v>
                </c:pt>
                <c:pt idx="26">
                  <c:v>22</c:v>
                </c:pt>
                <c:pt idx="27">
                  <c:v>25</c:v>
                </c:pt>
                <c:pt idx="28">
                  <c:v>24</c:v>
                </c:pt>
                <c:pt idx="29">
                  <c:v>16</c:v>
                </c:pt>
                <c:pt idx="30">
                  <c:v>18</c:v>
                </c:pt>
                <c:pt idx="31">
                  <c:v>16</c:v>
                </c:pt>
                <c:pt idx="32">
                  <c:v>8</c:v>
                </c:pt>
                <c:pt idx="33">
                  <c:v>12</c:v>
                </c:pt>
                <c:pt idx="34">
                  <c:v>20</c:v>
                </c:pt>
                <c:pt idx="35">
                  <c:v>15</c:v>
                </c:pt>
                <c:pt idx="36">
                  <c:v>9</c:v>
                </c:pt>
                <c:pt idx="37">
                  <c:v>13</c:v>
                </c:pt>
                <c:pt idx="38">
                  <c:v>9</c:v>
                </c:pt>
                <c:pt idx="39">
                  <c:v>10</c:v>
                </c:pt>
                <c:pt idx="40">
                  <c:v>9</c:v>
                </c:pt>
                <c:pt idx="41">
                  <c:v>14</c:v>
                </c:pt>
                <c:pt idx="42">
                  <c:v>10</c:v>
                </c:pt>
                <c:pt idx="43">
                  <c:v>3</c:v>
                </c:pt>
                <c:pt idx="44">
                  <c:v>8</c:v>
                </c:pt>
                <c:pt idx="45">
                  <c:v>4</c:v>
                </c:pt>
                <c:pt idx="46">
                  <c:v>1</c:v>
                </c:pt>
                <c:pt idx="47">
                  <c:v>1</c:v>
                </c:pt>
                <c:pt idx="48">
                  <c:v>4</c:v>
                </c:pt>
                <c:pt idx="49">
                  <c:v>1</c:v>
                </c:pt>
                <c:pt idx="50">
                  <c:v>2</c:v>
                </c:pt>
                <c:pt idx="51">
                  <c:v>1</c:v>
                </c:pt>
                <c:pt idx="52">
                  <c:v>1</c:v>
                </c:pt>
              </c:numCache>
            </c:numRef>
          </c:val>
          <c:extLst>
            <c:ext xmlns:c16="http://schemas.microsoft.com/office/drawing/2014/chart" uri="{C3380CC4-5D6E-409C-BE32-E72D297353CC}">
              <c16:uniqueId val="{00000000-1BBD-4D72-B0AE-524B248BE2DC}"/>
            </c:ext>
          </c:extLst>
        </c:ser>
        <c:dLbls>
          <c:showLegendKey val="0"/>
          <c:showVal val="0"/>
          <c:showCatName val="0"/>
          <c:showSerName val="0"/>
          <c:showPercent val="0"/>
          <c:showBubbleSize val="0"/>
        </c:dLbls>
        <c:gapWidth val="182"/>
        <c:axId val="1061912096"/>
        <c:axId val="1061862176"/>
      </c:barChart>
      <c:catAx>
        <c:axId val="1061912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862176"/>
        <c:crosses val="autoZero"/>
        <c:auto val="1"/>
        <c:lblAlgn val="ctr"/>
        <c:lblOffset val="100"/>
        <c:noMultiLvlLbl val="0"/>
      </c:catAx>
      <c:valAx>
        <c:axId val="106186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1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Based on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3C57-4826-A12C-F1DBBC44732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3C57-4826-A12C-F1DBBC447328}"/>
            </c:ext>
          </c:extLst>
        </c:ser>
        <c:dLbls>
          <c:showLegendKey val="0"/>
          <c:showVal val="0"/>
          <c:showCatName val="0"/>
          <c:showSerName val="0"/>
          <c:showPercent val="0"/>
          <c:showBubbleSize val="0"/>
        </c:dLbls>
        <c:gapWidth val="219"/>
        <c:overlap val="-27"/>
        <c:axId val="1464455856"/>
        <c:axId val="1464461136"/>
      </c:barChart>
      <c:catAx>
        <c:axId val="146445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61136"/>
        <c:crosses val="autoZero"/>
        <c:auto val="1"/>
        <c:lblAlgn val="ctr"/>
        <c:lblOffset val="100"/>
        <c:noMultiLvlLbl val="0"/>
      </c:catAx>
      <c:valAx>
        <c:axId val="146446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55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Table'!$B$29:$B$30</c:f>
              <c:strCache>
                <c:ptCount val="1"/>
                <c:pt idx="0">
                  <c:v>No</c:v>
                </c:pt>
              </c:strCache>
            </c:strRef>
          </c:tx>
          <c:spPr>
            <a:ln w="28575" cap="rnd">
              <a:solidFill>
                <a:schemeClr val="accent1"/>
              </a:solidFill>
              <a:round/>
            </a:ln>
            <a:effectLst/>
          </c:spPr>
          <c:marker>
            <c:symbol val="none"/>
          </c:marker>
          <c:cat>
            <c:strRef>
              <c:f>'Pivot Table'!$A$31:$A$36</c:f>
              <c:strCache>
                <c:ptCount val="5"/>
                <c:pt idx="0">
                  <c:v>0-1 Miles</c:v>
                </c:pt>
                <c:pt idx="1">
                  <c:v>1-2 Miles</c:v>
                </c:pt>
                <c:pt idx="2">
                  <c:v>2-5 Miles</c:v>
                </c:pt>
                <c:pt idx="3">
                  <c:v>5-10 Miles</c:v>
                </c:pt>
                <c:pt idx="4">
                  <c:v>More than 10 Miles </c:v>
                </c:pt>
              </c:strCache>
            </c:strRef>
          </c:cat>
          <c:val>
            <c:numRef>
              <c:f>'Pivot Table'!$B$31:$B$36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3D-4A7F-892F-89F12909898C}"/>
            </c:ext>
          </c:extLst>
        </c:ser>
        <c:ser>
          <c:idx val="1"/>
          <c:order val="1"/>
          <c:tx>
            <c:strRef>
              <c:f>'Pivot Table'!$C$29:$C$30</c:f>
              <c:strCache>
                <c:ptCount val="1"/>
                <c:pt idx="0">
                  <c:v>Yes</c:v>
                </c:pt>
              </c:strCache>
            </c:strRef>
          </c:tx>
          <c:spPr>
            <a:ln w="28575" cap="rnd">
              <a:solidFill>
                <a:schemeClr val="accent2"/>
              </a:solidFill>
              <a:round/>
            </a:ln>
            <a:effectLst/>
          </c:spPr>
          <c:marker>
            <c:symbol val="none"/>
          </c:marker>
          <c:cat>
            <c:strRef>
              <c:f>'Pivot Table'!$A$31:$A$36</c:f>
              <c:strCache>
                <c:ptCount val="5"/>
                <c:pt idx="0">
                  <c:v>0-1 Miles</c:v>
                </c:pt>
                <c:pt idx="1">
                  <c:v>1-2 Miles</c:v>
                </c:pt>
                <c:pt idx="2">
                  <c:v>2-5 Miles</c:v>
                </c:pt>
                <c:pt idx="3">
                  <c:v>5-10 Miles</c:v>
                </c:pt>
                <c:pt idx="4">
                  <c:v>More than 10 Miles </c:v>
                </c:pt>
              </c:strCache>
            </c:strRef>
          </c:cat>
          <c:val>
            <c:numRef>
              <c:f>'Pivot Table'!$C$31:$C$36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3D-4A7F-892F-89F12909898C}"/>
            </c:ext>
          </c:extLst>
        </c:ser>
        <c:dLbls>
          <c:showLegendKey val="0"/>
          <c:showVal val="0"/>
          <c:showCatName val="0"/>
          <c:showSerName val="0"/>
          <c:showPercent val="0"/>
          <c:showBubbleSize val="0"/>
        </c:dLbls>
        <c:smooth val="0"/>
        <c:axId val="1464424656"/>
        <c:axId val="1464414096"/>
      </c:lineChart>
      <c:catAx>
        <c:axId val="1464424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14096"/>
        <c:crosses val="autoZero"/>
        <c:auto val="1"/>
        <c:lblAlgn val="ctr"/>
        <c:lblOffset val="100"/>
        <c:noMultiLvlLbl val="0"/>
      </c:catAx>
      <c:valAx>
        <c:axId val="146441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2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Juvenile</c:v>
                </c:pt>
                <c:pt idx="1">
                  <c:v>Middle Age</c:v>
                </c:pt>
                <c:pt idx="2">
                  <c:v>Old</c:v>
                </c:pt>
              </c:strCache>
            </c:strRef>
          </c:cat>
          <c:val>
            <c:numRef>
              <c:f>'Pivot Table'!$B$48:$B$51</c:f>
              <c:numCache>
                <c:formatCode>General</c:formatCode>
                <c:ptCount val="3"/>
                <c:pt idx="0">
                  <c:v>48</c:v>
                </c:pt>
                <c:pt idx="1">
                  <c:v>293</c:v>
                </c:pt>
                <c:pt idx="2">
                  <c:v>178</c:v>
                </c:pt>
              </c:numCache>
            </c:numRef>
          </c:val>
          <c:smooth val="0"/>
          <c:extLst>
            <c:ext xmlns:c16="http://schemas.microsoft.com/office/drawing/2014/chart" uri="{C3380CC4-5D6E-409C-BE32-E72D297353CC}">
              <c16:uniqueId val="{00000000-77E5-48F9-A77C-26A4028C63D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Juvenile</c:v>
                </c:pt>
                <c:pt idx="1">
                  <c:v>Middle Age</c:v>
                </c:pt>
                <c:pt idx="2">
                  <c:v>Old</c:v>
                </c:pt>
              </c:strCache>
            </c:strRef>
          </c:cat>
          <c:val>
            <c:numRef>
              <c:f>'Pivot Table'!$C$48:$C$51</c:f>
              <c:numCache>
                <c:formatCode>General</c:formatCode>
                <c:ptCount val="3"/>
                <c:pt idx="0">
                  <c:v>35</c:v>
                </c:pt>
                <c:pt idx="1">
                  <c:v>324</c:v>
                </c:pt>
                <c:pt idx="2">
                  <c:v>122</c:v>
                </c:pt>
              </c:numCache>
            </c:numRef>
          </c:val>
          <c:smooth val="0"/>
          <c:extLst>
            <c:ext xmlns:c16="http://schemas.microsoft.com/office/drawing/2014/chart" uri="{C3380CC4-5D6E-409C-BE32-E72D297353CC}">
              <c16:uniqueId val="{00000001-77E5-48F9-A77C-26A4028C63D3}"/>
            </c:ext>
          </c:extLst>
        </c:ser>
        <c:dLbls>
          <c:showLegendKey val="0"/>
          <c:showVal val="0"/>
          <c:showCatName val="0"/>
          <c:showSerName val="0"/>
          <c:showPercent val="0"/>
          <c:showBubbleSize val="0"/>
        </c:dLbls>
        <c:marker val="1"/>
        <c:smooth val="0"/>
        <c:axId val="1464417936"/>
        <c:axId val="1464428016"/>
      </c:lineChart>
      <c:catAx>
        <c:axId val="146441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28016"/>
        <c:crosses val="autoZero"/>
        <c:auto val="1"/>
        <c:lblAlgn val="ctr"/>
        <c:lblOffset val="100"/>
        <c:noMultiLvlLbl val="0"/>
      </c:catAx>
      <c:valAx>
        <c:axId val="1464428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4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Based on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Table'!$C$70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A6-4B9E-9071-31813BDAD0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A6-4B9E-9071-31813BDAD0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Table'!$B$71:$B$73</c:f>
              <c:strCache>
                <c:ptCount val="2"/>
                <c:pt idx="0">
                  <c:v>Female</c:v>
                </c:pt>
                <c:pt idx="1">
                  <c:v>Male</c:v>
                </c:pt>
              </c:strCache>
            </c:strRef>
          </c:cat>
          <c:val>
            <c:numRef>
              <c:f>'Pivot Table'!$C$71:$C$73</c:f>
              <c:numCache>
                <c:formatCode>General</c:formatCode>
                <c:ptCount val="2"/>
                <c:pt idx="0">
                  <c:v>489</c:v>
                </c:pt>
                <c:pt idx="1">
                  <c:v>511</c:v>
                </c:pt>
              </c:numCache>
            </c:numRef>
          </c:val>
          <c:extLst>
            <c:ext xmlns:c16="http://schemas.microsoft.com/office/drawing/2014/chart" uri="{C3380CC4-5D6E-409C-BE32-E72D297353CC}">
              <c16:uniqueId val="{00000004-1CA6-4B9E-9071-31813BDAD03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Based on 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Table'!$A$78:$A$131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Table'!$B$78:$B$131</c:f>
              <c:numCache>
                <c:formatCode>General</c:formatCode>
                <c:ptCount val="53"/>
                <c:pt idx="0">
                  <c:v>6</c:v>
                </c:pt>
                <c:pt idx="1">
                  <c:v>16</c:v>
                </c:pt>
                <c:pt idx="2">
                  <c:v>23</c:v>
                </c:pt>
                <c:pt idx="3">
                  <c:v>22</c:v>
                </c:pt>
                <c:pt idx="4">
                  <c:v>16</c:v>
                </c:pt>
                <c:pt idx="5">
                  <c:v>27</c:v>
                </c:pt>
                <c:pt idx="6">
                  <c:v>25</c:v>
                </c:pt>
                <c:pt idx="7">
                  <c:v>33</c:v>
                </c:pt>
                <c:pt idx="8">
                  <c:v>21</c:v>
                </c:pt>
                <c:pt idx="9">
                  <c:v>31</c:v>
                </c:pt>
                <c:pt idx="10">
                  <c:v>36</c:v>
                </c:pt>
                <c:pt idx="11">
                  <c:v>37</c:v>
                </c:pt>
                <c:pt idx="12">
                  <c:v>32</c:v>
                </c:pt>
                <c:pt idx="13">
                  <c:v>37</c:v>
                </c:pt>
                <c:pt idx="14">
                  <c:v>22</c:v>
                </c:pt>
                <c:pt idx="15">
                  <c:v>42</c:v>
                </c:pt>
                <c:pt idx="16">
                  <c:v>28</c:v>
                </c:pt>
                <c:pt idx="17">
                  <c:v>34</c:v>
                </c:pt>
                <c:pt idx="18">
                  <c:v>36</c:v>
                </c:pt>
                <c:pt idx="19">
                  <c:v>27</c:v>
                </c:pt>
                <c:pt idx="20">
                  <c:v>31</c:v>
                </c:pt>
                <c:pt idx="21">
                  <c:v>27</c:v>
                </c:pt>
                <c:pt idx="22">
                  <c:v>39</c:v>
                </c:pt>
                <c:pt idx="23">
                  <c:v>29</c:v>
                </c:pt>
                <c:pt idx="24">
                  <c:v>23</c:v>
                </c:pt>
                <c:pt idx="25">
                  <c:v>24</c:v>
                </c:pt>
                <c:pt idx="26">
                  <c:v>22</c:v>
                </c:pt>
                <c:pt idx="27">
                  <c:v>25</c:v>
                </c:pt>
                <c:pt idx="28">
                  <c:v>24</c:v>
                </c:pt>
                <c:pt idx="29">
                  <c:v>16</c:v>
                </c:pt>
                <c:pt idx="30">
                  <c:v>18</c:v>
                </c:pt>
                <c:pt idx="31">
                  <c:v>16</c:v>
                </c:pt>
                <c:pt idx="32">
                  <c:v>8</c:v>
                </c:pt>
                <c:pt idx="33">
                  <c:v>12</c:v>
                </c:pt>
                <c:pt idx="34">
                  <c:v>20</c:v>
                </c:pt>
                <c:pt idx="35">
                  <c:v>15</c:v>
                </c:pt>
                <c:pt idx="36">
                  <c:v>9</c:v>
                </c:pt>
                <c:pt idx="37">
                  <c:v>13</c:v>
                </c:pt>
                <c:pt idx="38">
                  <c:v>9</c:v>
                </c:pt>
                <c:pt idx="39">
                  <c:v>10</c:v>
                </c:pt>
                <c:pt idx="40">
                  <c:v>9</c:v>
                </c:pt>
                <c:pt idx="41">
                  <c:v>14</c:v>
                </c:pt>
                <c:pt idx="42">
                  <c:v>10</c:v>
                </c:pt>
                <c:pt idx="43">
                  <c:v>3</c:v>
                </c:pt>
                <c:pt idx="44">
                  <c:v>8</c:v>
                </c:pt>
                <c:pt idx="45">
                  <c:v>4</c:v>
                </c:pt>
                <c:pt idx="46">
                  <c:v>1</c:v>
                </c:pt>
                <c:pt idx="47">
                  <c:v>1</c:v>
                </c:pt>
                <c:pt idx="48">
                  <c:v>4</c:v>
                </c:pt>
                <c:pt idx="49">
                  <c:v>1</c:v>
                </c:pt>
                <c:pt idx="50">
                  <c:v>2</c:v>
                </c:pt>
                <c:pt idx="51">
                  <c:v>1</c:v>
                </c:pt>
                <c:pt idx="52">
                  <c:v>1</c:v>
                </c:pt>
              </c:numCache>
            </c:numRef>
          </c:val>
          <c:extLst>
            <c:ext xmlns:c16="http://schemas.microsoft.com/office/drawing/2014/chart" uri="{C3380CC4-5D6E-409C-BE32-E72D297353CC}">
              <c16:uniqueId val="{00000000-21F3-4FA1-8355-28F77F56A478}"/>
            </c:ext>
          </c:extLst>
        </c:ser>
        <c:dLbls>
          <c:showLegendKey val="0"/>
          <c:showVal val="0"/>
          <c:showCatName val="0"/>
          <c:showSerName val="0"/>
          <c:showPercent val="0"/>
          <c:showBubbleSize val="0"/>
        </c:dLbls>
        <c:gapWidth val="115"/>
        <c:overlap val="-20"/>
        <c:axId val="1061912096"/>
        <c:axId val="1061862176"/>
      </c:barChart>
      <c:catAx>
        <c:axId val="10619120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862176"/>
        <c:crosses val="autoZero"/>
        <c:auto val="1"/>
        <c:lblAlgn val="ctr"/>
        <c:lblOffset val="100"/>
        <c:noMultiLvlLbl val="0"/>
      </c:catAx>
      <c:valAx>
        <c:axId val="1061862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Number</a:t>
                </a:r>
                <a:r>
                  <a:rPr lang="en-US" baseline="0"/>
                  <a:t> of Custommer</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1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8.xml"/><Relationship Id="rId7" Type="http://schemas.openxmlformats.org/officeDocument/2006/relationships/chart" Target="../charts/chart9.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381000</xdr:colOff>
      <xdr:row>10</xdr:row>
      <xdr:rowOff>80010</xdr:rowOff>
    </xdr:from>
    <xdr:to>
      <xdr:col>10</xdr:col>
      <xdr:colOff>556260</xdr:colOff>
      <xdr:row>25</xdr:row>
      <xdr:rowOff>80010</xdr:rowOff>
    </xdr:to>
    <xdr:graphicFrame macro="">
      <xdr:nvGraphicFramePr>
        <xdr:cNvPr id="2" name="Chart 1">
          <a:extLst>
            <a:ext uri="{FF2B5EF4-FFF2-40B4-BE49-F238E27FC236}">
              <a16:creationId xmlns:a16="http://schemas.microsoft.com/office/drawing/2014/main" id="{8D57235E-95B7-D350-F1D8-20469E98D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213360</xdr:colOff>
      <xdr:row>26</xdr:row>
      <xdr:rowOff>148590</xdr:rowOff>
    </xdr:from>
    <xdr:to>
      <xdr:col>12</xdr:col>
      <xdr:colOff>518160</xdr:colOff>
      <xdr:row>41</xdr:row>
      <xdr:rowOff>148590</xdr:rowOff>
    </xdr:to>
    <xdr:graphicFrame macro="">
      <xdr:nvGraphicFramePr>
        <xdr:cNvPr id="3" name="Chart 2">
          <a:extLst>
            <a:ext uri="{FF2B5EF4-FFF2-40B4-BE49-F238E27FC236}">
              <a16:creationId xmlns:a16="http://schemas.microsoft.com/office/drawing/2014/main" id="{A7D03B66-FBBA-9410-7E00-04942CC21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579120</xdr:colOff>
      <xdr:row>43</xdr:row>
      <xdr:rowOff>80010</xdr:rowOff>
    </xdr:from>
    <xdr:to>
      <xdr:col>13</xdr:col>
      <xdr:colOff>274320</xdr:colOff>
      <xdr:row>58</xdr:row>
      <xdr:rowOff>80010</xdr:rowOff>
    </xdr:to>
    <xdr:graphicFrame macro="">
      <xdr:nvGraphicFramePr>
        <xdr:cNvPr id="4" name="Chart 3">
          <a:extLst>
            <a:ext uri="{FF2B5EF4-FFF2-40B4-BE49-F238E27FC236}">
              <a16:creationId xmlns:a16="http://schemas.microsoft.com/office/drawing/2014/main" id="{A7AD3D59-0061-9B37-B529-37F8441CF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297180</xdr:colOff>
      <xdr:row>59</xdr:row>
      <xdr:rowOff>95250</xdr:rowOff>
    </xdr:from>
    <xdr:to>
      <xdr:col>9</xdr:col>
      <xdr:colOff>563880</xdr:colOff>
      <xdr:row>74</xdr:row>
      <xdr:rowOff>38100</xdr:rowOff>
    </xdr:to>
    <xdr:graphicFrame macro="">
      <xdr:nvGraphicFramePr>
        <xdr:cNvPr id="5" name="Chart 4">
          <a:extLst>
            <a:ext uri="{FF2B5EF4-FFF2-40B4-BE49-F238E27FC236}">
              <a16:creationId xmlns:a16="http://schemas.microsoft.com/office/drawing/2014/main" id="{9B63A73A-E177-D8DF-559E-06ADF2289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419100</xdr:colOff>
      <xdr:row>107</xdr:row>
      <xdr:rowOff>80010</xdr:rowOff>
    </xdr:from>
    <xdr:to>
      <xdr:col>10</xdr:col>
      <xdr:colOff>594360</xdr:colOff>
      <xdr:row>122</xdr:row>
      <xdr:rowOff>80010</xdr:rowOff>
    </xdr:to>
    <xdr:graphicFrame macro="">
      <xdr:nvGraphicFramePr>
        <xdr:cNvPr id="6" name="Chart 5">
          <a:extLst>
            <a:ext uri="{FF2B5EF4-FFF2-40B4-BE49-F238E27FC236}">
              <a16:creationId xmlns:a16="http://schemas.microsoft.com/office/drawing/2014/main" id="{4C8A9A84-2ED1-D00F-92BC-391FF5D29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101662</xdr:colOff>
      <xdr:row>4</xdr:row>
      <xdr:rowOff>55013</xdr:rowOff>
    </xdr:from>
    <xdr:to>
      <xdr:col>9</xdr:col>
      <xdr:colOff>406462</xdr:colOff>
      <xdr:row>19</xdr:row>
      <xdr:rowOff>55013</xdr:rowOff>
    </xdr:to>
    <xdr:graphicFrame macro="">
      <xdr:nvGraphicFramePr>
        <xdr:cNvPr id="2" name="Chart 1">
          <a:extLst>
            <a:ext uri="{FF2B5EF4-FFF2-40B4-BE49-F238E27FC236}">
              <a16:creationId xmlns:a16="http://schemas.microsoft.com/office/drawing/2014/main" id="{69AB31A7-369E-4D71-96E6-EB1529775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109282</xdr:colOff>
      <xdr:row>19</xdr:row>
      <xdr:rowOff>115973</xdr:rowOff>
    </xdr:from>
    <xdr:to>
      <xdr:col>16</xdr:col>
      <xdr:colOff>94042</xdr:colOff>
      <xdr:row>34</xdr:row>
      <xdr:rowOff>169313</xdr:rowOff>
    </xdr:to>
    <xdr:graphicFrame macro="">
      <xdr:nvGraphicFramePr>
        <xdr:cNvPr id="3" name="Chart 2">
          <a:extLst>
            <a:ext uri="{FF2B5EF4-FFF2-40B4-BE49-F238E27FC236}">
              <a16:creationId xmlns:a16="http://schemas.microsoft.com/office/drawing/2014/main" id="{F0BEE0D6-2813-456E-8004-EA6FB2F5C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444562</xdr:colOff>
      <xdr:row>4</xdr:row>
      <xdr:rowOff>47393</xdr:rowOff>
    </xdr:from>
    <xdr:to>
      <xdr:col>16</xdr:col>
      <xdr:colOff>78802</xdr:colOff>
      <xdr:row>19</xdr:row>
      <xdr:rowOff>62633</xdr:rowOff>
    </xdr:to>
    <xdr:graphicFrame macro="">
      <xdr:nvGraphicFramePr>
        <xdr:cNvPr id="4" name="Chart 3">
          <a:extLst>
            <a:ext uri="{FF2B5EF4-FFF2-40B4-BE49-F238E27FC236}">
              <a16:creationId xmlns:a16="http://schemas.microsoft.com/office/drawing/2014/main" id="{1B341D2D-23D2-444D-8796-4F8DE01EF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92555</xdr:colOff>
      <xdr:row>13</xdr:row>
      <xdr:rowOff>4274</xdr:rowOff>
    </xdr:from>
    <xdr:to>
      <xdr:col>3</xdr:col>
      <xdr:colOff>81404</xdr:colOff>
      <xdr:row>18</xdr:row>
      <xdr:rowOff>3159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4D4F256-D240-7D6F-B619-F2AF469B14B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2555" y="2381714"/>
              <a:ext cx="1817649" cy="913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18</xdr:row>
      <xdr:rowOff>99060</xdr:rowOff>
    </xdr:from>
    <xdr:to>
      <xdr:col>3</xdr:col>
      <xdr:colOff>76200</xdr:colOff>
      <xdr:row>25</xdr:row>
      <xdr:rowOff>68579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677DD6C-779C-5C85-32BD-80D9BBF6CB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3390900"/>
              <a:ext cx="1828800" cy="1249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25</xdr:row>
      <xdr:rowOff>106681</xdr:rowOff>
    </xdr:from>
    <xdr:to>
      <xdr:col>3</xdr:col>
      <xdr:colOff>76200</xdr:colOff>
      <xdr:row>34</xdr:row>
      <xdr:rowOff>160021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B17C3929-FCE3-D6F9-7F5F-F0B1C6F91EF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0" y="4678681"/>
              <a:ext cx="182880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0</xdr:row>
      <xdr:rowOff>7620</xdr:rowOff>
    </xdr:from>
    <xdr:to>
      <xdr:col>1</xdr:col>
      <xdr:colOff>198120</xdr:colOff>
      <xdr:row>3</xdr:row>
      <xdr:rowOff>83820</xdr:rowOff>
    </xdr:to>
    <xdr:pic>
      <xdr:nvPicPr>
        <xdr:cNvPr id="9" name="Graphic 8" descr="Motorcycle">
          <a:extLst>
            <a:ext uri="{FF2B5EF4-FFF2-40B4-BE49-F238E27FC236}">
              <a16:creationId xmlns:a16="http://schemas.microsoft.com/office/drawing/2014/main" id="{325CA350-E188-DCD9-046F-5D5B55D881A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2880" y="7620"/>
          <a:ext cx="624840" cy="624840"/>
        </a:xfrm>
        <a:prstGeom prst="rect">
          <a:avLst/>
        </a:prstGeom>
      </xdr:spPr>
    </xdr:pic>
    <xdr:clientData/>
  </xdr:twoCellAnchor>
  <xdr:twoCellAnchor editAs="oneCell">
    <xdr:from>
      <xdr:col>0</xdr:col>
      <xdr:colOff>83820</xdr:colOff>
      <xdr:row>4</xdr:row>
      <xdr:rowOff>45721</xdr:rowOff>
    </xdr:from>
    <xdr:to>
      <xdr:col>3</xdr:col>
      <xdr:colOff>68579</xdr:colOff>
      <xdr:row>12</xdr:row>
      <xdr:rowOff>129540</xdr:rowOff>
    </xdr:to>
    <xdr:pic>
      <xdr:nvPicPr>
        <xdr:cNvPr id="11" name="Picture 10">
          <a:extLst>
            <a:ext uri="{FF2B5EF4-FFF2-40B4-BE49-F238E27FC236}">
              <a16:creationId xmlns:a16="http://schemas.microsoft.com/office/drawing/2014/main" id="{18C2BF08-A4BA-E533-08FD-E55688C8FB2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3820" y="777241"/>
          <a:ext cx="1813559" cy="1546859"/>
        </a:xfrm>
        <a:prstGeom prst="rect">
          <a:avLst/>
        </a:prstGeom>
      </xdr:spPr>
    </xdr:pic>
    <xdr:clientData/>
  </xdr:twoCellAnchor>
  <xdr:twoCellAnchor>
    <xdr:from>
      <xdr:col>7</xdr:col>
      <xdr:colOff>38100</xdr:colOff>
      <xdr:row>0</xdr:row>
      <xdr:rowOff>22860</xdr:rowOff>
    </xdr:from>
    <xdr:to>
      <xdr:col>11</xdr:col>
      <xdr:colOff>350520</xdr:colOff>
      <xdr:row>3</xdr:row>
      <xdr:rowOff>175260</xdr:rowOff>
    </xdr:to>
    <xdr:sp macro="" textlink="$H$2">
      <xdr:nvSpPr>
        <xdr:cNvPr id="13" name="Rectangle 12">
          <a:extLst>
            <a:ext uri="{FF2B5EF4-FFF2-40B4-BE49-F238E27FC236}">
              <a16:creationId xmlns:a16="http://schemas.microsoft.com/office/drawing/2014/main" id="{4305342E-75CD-F565-DEE0-8835495AE801}"/>
            </a:ext>
          </a:extLst>
        </xdr:cNvPr>
        <xdr:cNvSpPr/>
      </xdr:nvSpPr>
      <xdr:spPr>
        <a:xfrm>
          <a:off x="4305300" y="22860"/>
          <a:ext cx="2750820" cy="70104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bg1"/>
              </a:solidFill>
              <a:effectLst/>
              <a:latin typeface="+mn-lt"/>
              <a:ea typeface="+mn-ea"/>
              <a:cs typeface="+mn-cs"/>
            </a:rPr>
            <a:t>Number of</a:t>
          </a:r>
          <a:r>
            <a:rPr lang="en-US" sz="1800" b="1" baseline="0">
              <a:solidFill>
                <a:schemeClr val="bg1"/>
              </a:solidFill>
              <a:effectLst/>
              <a:latin typeface="+mn-lt"/>
              <a:ea typeface="+mn-ea"/>
              <a:cs typeface="+mn-cs"/>
            </a:rPr>
            <a:t> Bike Purchased</a:t>
          </a:r>
          <a:endParaRPr lang="en-US" sz="1800" b="1">
            <a:solidFill>
              <a:schemeClr val="bg1"/>
            </a:solidFill>
            <a:effectLst/>
          </a:endParaRPr>
        </a:p>
        <a:p>
          <a:pPr algn="ctr"/>
          <a:r>
            <a:rPr lang="en-US" sz="1800" b="1" i="0" u="none" strike="noStrike" baseline="0">
              <a:solidFill>
                <a:schemeClr val="bg1"/>
              </a:solidFill>
              <a:latin typeface="Calibri"/>
              <a:ea typeface="Calibri"/>
              <a:cs typeface="Calibri"/>
            </a:rPr>
            <a:t> </a:t>
          </a:r>
          <a:fld id="{07AC9E97-D489-488E-9CD4-812D79B2DC12}" type="TxLink">
            <a:rPr lang="en-US" sz="1800" b="1" i="0" u="none" strike="noStrike" baseline="0">
              <a:solidFill>
                <a:schemeClr val="bg1"/>
              </a:solidFill>
              <a:latin typeface="Calibri"/>
              <a:ea typeface="Calibri"/>
              <a:cs typeface="Calibri"/>
            </a:rPr>
            <a:pPr algn="ctr"/>
            <a:t>481</a:t>
          </a:fld>
          <a:endParaRPr lang="en-US" sz="1800" b="1" baseline="0">
            <a:solidFill>
              <a:schemeClr val="bg1"/>
            </a:solidFill>
          </a:endParaRPr>
        </a:p>
      </xdr:txBody>
    </xdr:sp>
    <xdr:clientData/>
  </xdr:twoCellAnchor>
  <xdr:twoCellAnchor>
    <xdr:from>
      <xdr:col>11</xdr:col>
      <xdr:colOff>403860</xdr:colOff>
      <xdr:row>0</xdr:row>
      <xdr:rowOff>30480</xdr:rowOff>
    </xdr:from>
    <xdr:to>
      <xdr:col>16</xdr:col>
      <xdr:colOff>76200</xdr:colOff>
      <xdr:row>4</xdr:row>
      <xdr:rowOff>0</xdr:rowOff>
    </xdr:to>
    <xdr:sp macro="" textlink="$M$2">
      <xdr:nvSpPr>
        <xdr:cNvPr id="17" name="Rectangle 16">
          <a:extLst>
            <a:ext uri="{FF2B5EF4-FFF2-40B4-BE49-F238E27FC236}">
              <a16:creationId xmlns:a16="http://schemas.microsoft.com/office/drawing/2014/main" id="{8F607571-481C-48A1-926D-35207208C4E5}"/>
            </a:ext>
          </a:extLst>
        </xdr:cNvPr>
        <xdr:cNvSpPr/>
      </xdr:nvSpPr>
      <xdr:spPr>
        <a:xfrm>
          <a:off x="7109460" y="30480"/>
          <a:ext cx="2720340" cy="70104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none" strike="noStrike">
              <a:solidFill>
                <a:schemeClr val="bg1"/>
              </a:solidFill>
              <a:effectLst/>
              <a:latin typeface="Calibri"/>
              <a:ea typeface="Calibri"/>
              <a:cs typeface="Calibri"/>
            </a:rPr>
            <a:t>Number of Home Owner </a:t>
          </a:r>
          <a:fld id="{725474E5-4494-43C8-84C3-72A0471FB048}" type="TxLink">
            <a:rPr lang="en-US" sz="1800" b="1" i="0" u="none" strike="noStrike">
              <a:solidFill>
                <a:schemeClr val="bg1"/>
              </a:solidFill>
              <a:effectLst/>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683</a:t>
          </a:fld>
          <a:endParaRPr lang="en-US" sz="1800" b="1" baseline="0">
            <a:solidFill>
              <a:schemeClr val="bg1"/>
            </a:solidFill>
          </a:endParaRPr>
        </a:p>
      </xdr:txBody>
    </xdr:sp>
    <xdr:clientData/>
  </xdr:twoCellAnchor>
  <xdr:twoCellAnchor>
    <xdr:from>
      <xdr:col>16</xdr:col>
      <xdr:colOff>144780</xdr:colOff>
      <xdr:row>0</xdr:row>
      <xdr:rowOff>22860</xdr:rowOff>
    </xdr:from>
    <xdr:to>
      <xdr:col>23</xdr:col>
      <xdr:colOff>76200</xdr:colOff>
      <xdr:row>14</xdr:row>
      <xdr:rowOff>7620</xdr:rowOff>
    </xdr:to>
    <xdr:graphicFrame macro="">
      <xdr:nvGraphicFramePr>
        <xdr:cNvPr id="20" name="Chart 19">
          <a:extLst>
            <a:ext uri="{FF2B5EF4-FFF2-40B4-BE49-F238E27FC236}">
              <a16:creationId xmlns:a16="http://schemas.microsoft.com/office/drawing/2014/main" id="{81FB6E10-841B-41B5-BB59-C649B6476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129540</xdr:colOff>
      <xdr:row>14</xdr:row>
      <xdr:rowOff>53340</xdr:rowOff>
    </xdr:from>
    <xdr:to>
      <xdr:col>23</xdr:col>
      <xdr:colOff>99060</xdr:colOff>
      <xdr:row>34</xdr:row>
      <xdr:rowOff>175260</xdr:rowOff>
    </xdr:to>
    <xdr:graphicFrame macro="">
      <xdr:nvGraphicFramePr>
        <xdr:cNvPr id="21" name="Chart 20">
          <a:extLst>
            <a:ext uri="{FF2B5EF4-FFF2-40B4-BE49-F238E27FC236}">
              <a16:creationId xmlns:a16="http://schemas.microsoft.com/office/drawing/2014/main" id="{F4ADC5E7-1861-4BEA-8766-095808BD9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17.999026736114" createdVersion="8" refreshedVersion="8" minRefreshableVersion="3" recordCount="1000" xr:uid="{1488D581-5F24-4186-BD02-99AD3E7B1817}">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Juvenile"/>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369282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1"/>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1"/>
    <x v="1"/>
  </r>
  <r>
    <n v="12291"/>
    <x v="1"/>
    <x v="1"/>
    <n v="90000"/>
    <n v="5"/>
    <x v="1"/>
    <s v="Professional"/>
    <s v="No"/>
    <n v="2"/>
    <x v="1"/>
    <x v="0"/>
    <x v="24"/>
    <x v="1"/>
    <x v="1"/>
  </r>
  <r>
    <n v="28380"/>
    <x v="1"/>
    <x v="0"/>
    <n v="10000"/>
    <n v="5"/>
    <x v="3"/>
    <s v="Manual"/>
    <s v="No"/>
    <n v="2"/>
    <x v="0"/>
    <x v="0"/>
    <x v="3"/>
    <x v="0"/>
    <x v="0"/>
  </r>
  <r>
    <n v="17891"/>
    <x v="0"/>
    <x v="0"/>
    <n v="10000"/>
    <n v="2"/>
    <x v="1"/>
    <s v="Manual"/>
    <s v="Yes"/>
    <n v="1"/>
    <x v="0"/>
    <x v="0"/>
    <x v="5"/>
    <x v="1"/>
    <x v="1"/>
  </r>
  <r>
    <n v="27832"/>
    <x v="1"/>
    <x v="0"/>
    <n v="30000"/>
    <n v="0"/>
    <x v="1"/>
    <s v="Clerical"/>
    <s v="No"/>
    <n v="1"/>
    <x v="1"/>
    <x v="0"/>
    <x v="25"/>
    <x v="0"/>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1"/>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1"/>
    <x v="1"/>
  </r>
  <r>
    <n v="16514"/>
    <x v="1"/>
    <x v="1"/>
    <n v="10000"/>
    <n v="0"/>
    <x v="1"/>
    <s v="Manual"/>
    <s v="Yes"/>
    <n v="1"/>
    <x v="3"/>
    <x v="1"/>
    <x v="22"/>
    <x v="2"/>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1"/>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2"/>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1"/>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1"/>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1"/>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1"/>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1"/>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1"/>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1"/>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1"/>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1"/>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1"/>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1"/>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1"/>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1"/>
    <x v="0"/>
  </r>
  <r>
    <n v="18363"/>
    <x v="0"/>
    <x v="1"/>
    <n v="40000"/>
    <n v="0"/>
    <x v="2"/>
    <s v="Skilled Manual"/>
    <s v="Yes"/>
    <n v="2"/>
    <x v="2"/>
    <x v="2"/>
    <x v="26"/>
    <x v="2"/>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1"/>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1"/>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1"/>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1"/>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1"/>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5AFE80-BBCE-4C3A-833D-9FDB13DC669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7:B131" firstHeaderRow="1" firstDataRow="1"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dataFiel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showAll="0"/>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Count of Age" fld="11" subtotal="count" baseField="11"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9CB0F8-F9AA-4F27-9C88-D71A5F659A5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70:C73" firstHeaderRow="1" firstDataRow="1" firstDataCol="1"/>
  <pivotFields count="14">
    <pivotField showAll="0"/>
    <pivotField showAll="0">
      <items count="3">
        <item x="0"/>
        <item x="1"/>
        <item t="default"/>
      </items>
    </pivotField>
    <pivotField axis="axisRow" dataField="1"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Fields count="1">
    <field x="2"/>
  </rowFields>
  <rowItems count="3">
    <i>
      <x/>
    </i>
    <i>
      <x v="1"/>
    </i>
    <i t="grand">
      <x/>
    </i>
  </rowItems>
  <colItems count="1">
    <i/>
  </colItems>
  <dataFields count="1">
    <dataField name="Count of Gender" fld="2" subtotal="count" baseField="0" baseItem="0"/>
  </dataFields>
  <chartFormats count="6">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0"/>
          </reference>
        </references>
      </pivotArea>
    </chartFormat>
    <chartFormat chart="6" format="6">
      <pivotArea type="data" outline="0" fieldPosition="0">
        <references count="2">
          <reference field="4294967294" count="1" selected="0">
            <x v="0"/>
          </reference>
          <reference field="2" count="1" selected="0">
            <x v="1"/>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56EB68-91DA-4DF5-A9AA-521952C804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6:D5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8B5993-6CD8-4776-B0BB-09D06E8718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D3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510988-087F-4A9A-986C-4626AA2F8B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1638491-ACE3-49CA-AA1C-9844BC8DCEFC}" sourceName="Marital Status">
  <pivotTables>
    <pivotTable tabId="2" name="PivotTable1"/>
    <pivotTable tabId="2" name="PivotTable2"/>
    <pivotTable tabId="2" name="PivotTable3"/>
    <pivotTable tabId="2" name="PivotTable5"/>
    <pivotTable tabId="2" name="PivotTable6"/>
  </pivotTables>
  <data>
    <tabular pivotCacheId="3692821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9D865A-4210-4A84-A24A-8E34F987EB0A}" sourceName="Region">
  <pivotTables>
    <pivotTable tabId="2" name="PivotTable1"/>
    <pivotTable tabId="2" name="PivotTable2"/>
    <pivotTable tabId="2" name="PivotTable3"/>
    <pivotTable tabId="2" name="PivotTable5"/>
    <pivotTable tabId="2" name="PivotTable6"/>
  </pivotTables>
  <data>
    <tabular pivotCacheId="36928212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DE8975D-14A5-4890-9FDD-A882DFBB8FCE}" sourceName="Education">
  <pivotTables>
    <pivotTable tabId="2" name="PivotTable1"/>
    <pivotTable tabId="2" name="PivotTable2"/>
    <pivotTable tabId="2" name="PivotTable3"/>
    <pivotTable tabId="2" name="PivotTable5"/>
    <pivotTable tabId="2" name="PivotTable6"/>
  </pivotTables>
  <data>
    <tabular pivotCacheId="36928212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D81EBCB-3351-40A1-AC2A-02A6C16F73CB}" cache="Slicer_Marital_Status" caption="Marital Status" rowHeight="234950"/>
  <slicer name="Region" xr10:uid="{EA9E0213-F859-4EE2-A018-AD7CA6CB8E27}" cache="Slicer_Region" caption="Region" rowHeight="234950"/>
  <slicer name="Education" xr10:uid="{926EAC4D-D104-418C-B273-759E0F9A7B76}"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1" workbookViewId="0">
      <selection activeCell="E23" sqref="E23"/>
    </sheetView>
  </sheetViews>
  <sheetFormatPr defaultColWidth="15.109375" defaultRowHeight="14.4" x14ac:dyDescent="0.3"/>
  <cols>
    <col min="4" max="4" width="15.109375" style="2"/>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34</v>
      </c>
      <c r="D2" s="2">
        <v>40000</v>
      </c>
      <c r="E2">
        <v>1</v>
      </c>
      <c r="F2" t="s">
        <v>13</v>
      </c>
      <c r="G2" t="s">
        <v>14</v>
      </c>
      <c r="H2" t="s">
        <v>15</v>
      </c>
      <c r="I2">
        <v>0</v>
      </c>
      <c r="J2" t="s">
        <v>16</v>
      </c>
      <c r="K2" t="s">
        <v>17</v>
      </c>
      <c r="L2">
        <v>42</v>
      </c>
      <c r="M2" t="str">
        <f>IF(L2&gt;=50,"Old",IF(L2&gt;=30,"Middle Age",IF(L2&lt;30,"Juvenile","Invalid")))</f>
        <v>Middle Age</v>
      </c>
      <c r="N2" t="s">
        <v>18</v>
      </c>
    </row>
    <row r="3" spans="1:14" x14ac:dyDescent="0.3">
      <c r="A3">
        <v>24107</v>
      </c>
      <c r="B3" t="s">
        <v>32</v>
      </c>
      <c r="C3" t="s">
        <v>35</v>
      </c>
      <c r="D3" s="2">
        <v>30000</v>
      </c>
      <c r="E3">
        <v>3</v>
      </c>
      <c r="F3" t="s">
        <v>19</v>
      </c>
      <c r="G3" t="s">
        <v>20</v>
      </c>
      <c r="H3" t="s">
        <v>15</v>
      </c>
      <c r="I3">
        <v>1</v>
      </c>
      <c r="J3" t="s">
        <v>16</v>
      </c>
      <c r="K3" t="s">
        <v>17</v>
      </c>
      <c r="L3">
        <v>43</v>
      </c>
      <c r="M3" t="str">
        <f t="shared" ref="M3:M66" si="0">IF(L3&gt;=50,"Old",IF(L3&gt;=30,"Middle Age",IF(L3&lt;30,"Juvenile","Invalid")))</f>
        <v>Middle Age</v>
      </c>
      <c r="N3" t="s">
        <v>18</v>
      </c>
    </row>
    <row r="4" spans="1:14" x14ac:dyDescent="0.3">
      <c r="A4">
        <v>14177</v>
      </c>
      <c r="B4" t="s">
        <v>32</v>
      </c>
      <c r="C4" t="s">
        <v>35</v>
      </c>
      <c r="D4" s="2">
        <v>80000</v>
      </c>
      <c r="E4">
        <v>5</v>
      </c>
      <c r="F4" t="s">
        <v>19</v>
      </c>
      <c r="G4" t="s">
        <v>21</v>
      </c>
      <c r="H4" t="s">
        <v>18</v>
      </c>
      <c r="I4">
        <v>2</v>
      </c>
      <c r="J4" t="s">
        <v>22</v>
      </c>
      <c r="K4" t="s">
        <v>17</v>
      </c>
      <c r="L4">
        <v>60</v>
      </c>
      <c r="M4" t="str">
        <f t="shared" si="0"/>
        <v>Old</v>
      </c>
      <c r="N4" t="s">
        <v>18</v>
      </c>
    </row>
    <row r="5" spans="1:14" x14ac:dyDescent="0.3">
      <c r="A5">
        <v>24381</v>
      </c>
      <c r="B5" t="s">
        <v>33</v>
      </c>
      <c r="C5" t="s">
        <v>35</v>
      </c>
      <c r="D5" s="2">
        <v>70000</v>
      </c>
      <c r="E5">
        <v>0</v>
      </c>
      <c r="F5" t="s">
        <v>13</v>
      </c>
      <c r="G5" t="s">
        <v>21</v>
      </c>
      <c r="H5" t="s">
        <v>15</v>
      </c>
      <c r="I5">
        <v>1</v>
      </c>
      <c r="J5" t="s">
        <v>23</v>
      </c>
      <c r="K5" t="s">
        <v>24</v>
      </c>
      <c r="L5">
        <v>41</v>
      </c>
      <c r="M5" t="str">
        <f t="shared" si="0"/>
        <v>Middle Age</v>
      </c>
      <c r="N5" t="s">
        <v>15</v>
      </c>
    </row>
    <row r="6" spans="1:14" x14ac:dyDescent="0.3">
      <c r="A6">
        <v>25597</v>
      </c>
      <c r="B6" t="s">
        <v>33</v>
      </c>
      <c r="C6" t="s">
        <v>35</v>
      </c>
      <c r="D6" s="2">
        <v>30000</v>
      </c>
      <c r="E6">
        <v>0</v>
      </c>
      <c r="F6" t="s">
        <v>13</v>
      </c>
      <c r="G6" t="s">
        <v>20</v>
      </c>
      <c r="H6" t="s">
        <v>18</v>
      </c>
      <c r="I6">
        <v>0</v>
      </c>
      <c r="J6" t="s">
        <v>16</v>
      </c>
      <c r="K6" t="s">
        <v>17</v>
      </c>
      <c r="L6">
        <v>36</v>
      </c>
      <c r="M6" t="str">
        <f t="shared" si="0"/>
        <v>Middle Age</v>
      </c>
      <c r="N6" t="s">
        <v>15</v>
      </c>
    </row>
    <row r="7" spans="1:14" x14ac:dyDescent="0.3">
      <c r="A7">
        <v>13507</v>
      </c>
      <c r="B7" t="s">
        <v>32</v>
      </c>
      <c r="C7" t="s">
        <v>34</v>
      </c>
      <c r="D7" s="2">
        <v>10000</v>
      </c>
      <c r="E7">
        <v>2</v>
      </c>
      <c r="F7" t="s">
        <v>19</v>
      </c>
      <c r="G7" t="s">
        <v>25</v>
      </c>
      <c r="H7" t="s">
        <v>15</v>
      </c>
      <c r="I7">
        <v>0</v>
      </c>
      <c r="J7" t="s">
        <v>26</v>
      </c>
      <c r="K7" t="s">
        <v>17</v>
      </c>
      <c r="L7">
        <v>50</v>
      </c>
      <c r="M7" t="str">
        <f t="shared" si="0"/>
        <v>Old</v>
      </c>
      <c r="N7" t="s">
        <v>18</v>
      </c>
    </row>
    <row r="8" spans="1:14" x14ac:dyDescent="0.3">
      <c r="A8">
        <v>27974</v>
      </c>
      <c r="B8" t="s">
        <v>33</v>
      </c>
      <c r="C8" t="s">
        <v>35</v>
      </c>
      <c r="D8" s="2">
        <v>160000</v>
      </c>
      <c r="E8">
        <v>2</v>
      </c>
      <c r="F8" t="s">
        <v>27</v>
      </c>
      <c r="G8" t="s">
        <v>28</v>
      </c>
      <c r="H8" t="s">
        <v>15</v>
      </c>
      <c r="I8">
        <v>4</v>
      </c>
      <c r="J8" t="s">
        <v>16</v>
      </c>
      <c r="K8" t="s">
        <v>24</v>
      </c>
      <c r="L8">
        <v>33</v>
      </c>
      <c r="M8" t="str">
        <f t="shared" si="0"/>
        <v>Middle Age</v>
      </c>
      <c r="N8" t="s">
        <v>15</v>
      </c>
    </row>
    <row r="9" spans="1:14" x14ac:dyDescent="0.3">
      <c r="A9">
        <v>19364</v>
      </c>
      <c r="B9" t="s">
        <v>32</v>
      </c>
      <c r="C9" t="s">
        <v>35</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34</v>
      </c>
      <c r="D12" s="2">
        <v>30000</v>
      </c>
      <c r="E12">
        <v>3</v>
      </c>
      <c r="F12" t="s">
        <v>27</v>
      </c>
      <c r="G12" t="s">
        <v>14</v>
      </c>
      <c r="H12" t="s">
        <v>18</v>
      </c>
      <c r="I12">
        <v>2</v>
      </c>
      <c r="J12" t="s">
        <v>26</v>
      </c>
      <c r="K12" t="s">
        <v>24</v>
      </c>
      <c r="L12">
        <v>54</v>
      </c>
      <c r="M12" t="str">
        <f t="shared" si="0"/>
        <v>Old</v>
      </c>
      <c r="N12" t="s">
        <v>15</v>
      </c>
    </row>
    <row r="13" spans="1:14" x14ac:dyDescent="0.3">
      <c r="A13">
        <v>12697</v>
      </c>
      <c r="B13" t="s">
        <v>33</v>
      </c>
      <c r="C13" t="s">
        <v>34</v>
      </c>
      <c r="D13" s="2">
        <v>90000</v>
      </c>
      <c r="E13">
        <v>0</v>
      </c>
      <c r="F13" t="s">
        <v>13</v>
      </c>
      <c r="G13" t="s">
        <v>21</v>
      </c>
      <c r="H13" t="s">
        <v>18</v>
      </c>
      <c r="I13">
        <v>4</v>
      </c>
      <c r="J13" t="s">
        <v>42</v>
      </c>
      <c r="K13" t="s">
        <v>24</v>
      </c>
      <c r="L13">
        <v>36</v>
      </c>
      <c r="M13" t="str">
        <f t="shared" si="0"/>
        <v>Middle Age</v>
      </c>
      <c r="N13" t="s">
        <v>18</v>
      </c>
    </row>
    <row r="14" spans="1:14" x14ac:dyDescent="0.3">
      <c r="A14">
        <v>11434</v>
      </c>
      <c r="B14" t="s">
        <v>32</v>
      </c>
      <c r="C14" t="s">
        <v>35</v>
      </c>
      <c r="D14" s="2">
        <v>170000</v>
      </c>
      <c r="E14">
        <v>5</v>
      </c>
      <c r="F14" t="s">
        <v>19</v>
      </c>
      <c r="G14" t="s">
        <v>21</v>
      </c>
      <c r="H14" t="s">
        <v>15</v>
      </c>
      <c r="I14">
        <v>0</v>
      </c>
      <c r="J14" t="s">
        <v>16</v>
      </c>
      <c r="K14" t="s">
        <v>17</v>
      </c>
      <c r="L14">
        <v>55</v>
      </c>
      <c r="M14" t="str">
        <f t="shared" si="0"/>
        <v>Old</v>
      </c>
      <c r="N14" t="s">
        <v>18</v>
      </c>
    </row>
    <row r="15" spans="1:14" x14ac:dyDescent="0.3">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3">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3">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3">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3">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3">
      <c r="A21">
        <v>25940</v>
      </c>
      <c r="B21" t="s">
        <v>33</v>
      </c>
      <c r="C21" t="s">
        <v>35</v>
      </c>
      <c r="D21" s="2">
        <v>20000</v>
      </c>
      <c r="E21">
        <v>2</v>
      </c>
      <c r="F21" t="s">
        <v>29</v>
      </c>
      <c r="G21" t="s">
        <v>20</v>
      </c>
      <c r="H21" t="s">
        <v>15</v>
      </c>
      <c r="I21">
        <v>2</v>
      </c>
      <c r="J21" t="s">
        <v>23</v>
      </c>
      <c r="K21" t="s">
        <v>24</v>
      </c>
      <c r="L21">
        <v>55</v>
      </c>
      <c r="M21" t="str">
        <f t="shared" si="0"/>
        <v>Old</v>
      </c>
      <c r="N21" t="s">
        <v>15</v>
      </c>
    </row>
    <row r="22" spans="1:14" x14ac:dyDescent="0.3">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3">
      <c r="A23">
        <v>21564</v>
      </c>
      <c r="B23" t="s">
        <v>33</v>
      </c>
      <c r="C23" t="s">
        <v>34</v>
      </c>
      <c r="D23" s="2">
        <v>80000</v>
      </c>
      <c r="E23">
        <v>0</v>
      </c>
      <c r="F23" t="s">
        <v>13</v>
      </c>
      <c r="G23" t="s">
        <v>21</v>
      </c>
      <c r="H23" t="s">
        <v>15</v>
      </c>
      <c r="I23">
        <v>4</v>
      </c>
      <c r="J23" t="s">
        <v>42</v>
      </c>
      <c r="K23" t="s">
        <v>24</v>
      </c>
      <c r="L23">
        <v>35</v>
      </c>
      <c r="M23" t="str">
        <f t="shared" si="0"/>
        <v>Middle Age</v>
      </c>
      <c r="N23" t="s">
        <v>18</v>
      </c>
    </row>
    <row r="24" spans="1:14" x14ac:dyDescent="0.3">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3">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3">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2">
        <v>30000</v>
      </c>
      <c r="E28">
        <v>0</v>
      </c>
      <c r="F28" t="s">
        <v>19</v>
      </c>
      <c r="G28" t="s">
        <v>20</v>
      </c>
      <c r="H28" t="s">
        <v>18</v>
      </c>
      <c r="I28">
        <v>1</v>
      </c>
      <c r="J28" t="s">
        <v>16</v>
      </c>
      <c r="K28" t="s">
        <v>17</v>
      </c>
      <c r="L28">
        <v>29</v>
      </c>
      <c r="M28" t="str">
        <f t="shared" si="0"/>
        <v>Juvenile</v>
      </c>
      <c r="N28" t="s">
        <v>15</v>
      </c>
    </row>
    <row r="29" spans="1:14" x14ac:dyDescent="0.3">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3">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3">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3">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2">
        <v>10000</v>
      </c>
      <c r="E33">
        <v>0</v>
      </c>
      <c r="F33" t="s">
        <v>19</v>
      </c>
      <c r="G33" t="s">
        <v>25</v>
      </c>
      <c r="H33" t="s">
        <v>18</v>
      </c>
      <c r="I33">
        <v>1</v>
      </c>
      <c r="J33" t="s">
        <v>16</v>
      </c>
      <c r="K33" t="s">
        <v>24</v>
      </c>
      <c r="L33">
        <v>26</v>
      </c>
      <c r="M33" t="str">
        <f t="shared" si="0"/>
        <v>Juvenile</v>
      </c>
      <c r="N33" t="s">
        <v>15</v>
      </c>
    </row>
    <row r="34" spans="1:14" x14ac:dyDescent="0.3">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3">
      <c r="A35">
        <v>18484</v>
      </c>
      <c r="B35" t="s">
        <v>33</v>
      </c>
      <c r="C35" t="s">
        <v>35</v>
      </c>
      <c r="D35" s="2">
        <v>80000</v>
      </c>
      <c r="E35">
        <v>2</v>
      </c>
      <c r="F35" t="s">
        <v>27</v>
      </c>
      <c r="G35" t="s">
        <v>14</v>
      </c>
      <c r="H35" t="s">
        <v>18</v>
      </c>
      <c r="I35">
        <v>2</v>
      </c>
      <c r="J35" t="s">
        <v>26</v>
      </c>
      <c r="K35" t="s">
        <v>24</v>
      </c>
      <c r="L35">
        <v>50</v>
      </c>
      <c r="M35" t="str">
        <f t="shared" si="0"/>
        <v>Old</v>
      </c>
      <c r="N35" t="s">
        <v>15</v>
      </c>
    </row>
    <row r="36" spans="1:14" x14ac:dyDescent="0.3">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3">
      <c r="A38">
        <v>17891</v>
      </c>
      <c r="B38" t="s">
        <v>32</v>
      </c>
      <c r="C38" t="s">
        <v>34</v>
      </c>
      <c r="D38" s="2">
        <v>10000</v>
      </c>
      <c r="E38">
        <v>2</v>
      </c>
      <c r="F38" t="s">
        <v>19</v>
      </c>
      <c r="G38" t="s">
        <v>25</v>
      </c>
      <c r="H38" t="s">
        <v>15</v>
      </c>
      <c r="I38">
        <v>1</v>
      </c>
      <c r="J38" t="s">
        <v>16</v>
      </c>
      <c r="K38" t="s">
        <v>17</v>
      </c>
      <c r="L38">
        <v>50</v>
      </c>
      <c r="M38" t="str">
        <f t="shared" si="0"/>
        <v>Old</v>
      </c>
      <c r="N38" t="s">
        <v>15</v>
      </c>
    </row>
    <row r="39" spans="1:14" x14ac:dyDescent="0.3">
      <c r="A39">
        <v>27832</v>
      </c>
      <c r="B39" t="s">
        <v>33</v>
      </c>
      <c r="C39" t="s">
        <v>34</v>
      </c>
      <c r="D39" s="2">
        <v>30000</v>
      </c>
      <c r="E39">
        <v>0</v>
      </c>
      <c r="F39" t="s">
        <v>19</v>
      </c>
      <c r="G39" t="s">
        <v>20</v>
      </c>
      <c r="H39" t="s">
        <v>18</v>
      </c>
      <c r="I39">
        <v>1</v>
      </c>
      <c r="J39" t="s">
        <v>22</v>
      </c>
      <c r="K39" t="s">
        <v>17</v>
      </c>
      <c r="L39">
        <v>30</v>
      </c>
      <c r="M39" t="str">
        <f t="shared" si="0"/>
        <v>Middle Age</v>
      </c>
      <c r="N39" t="s">
        <v>18</v>
      </c>
    </row>
    <row r="40" spans="1:14" x14ac:dyDescent="0.3">
      <c r="A40">
        <v>26863</v>
      </c>
      <c r="B40" t="s">
        <v>33</v>
      </c>
      <c r="C40" t="s">
        <v>35</v>
      </c>
      <c r="D40" s="2">
        <v>20000</v>
      </c>
      <c r="E40">
        <v>0</v>
      </c>
      <c r="F40" t="s">
        <v>27</v>
      </c>
      <c r="G40" t="s">
        <v>25</v>
      </c>
      <c r="H40" t="s">
        <v>18</v>
      </c>
      <c r="I40">
        <v>1</v>
      </c>
      <c r="J40" t="s">
        <v>22</v>
      </c>
      <c r="K40" t="s">
        <v>17</v>
      </c>
      <c r="L40">
        <v>28</v>
      </c>
      <c r="M40" t="str">
        <f t="shared" si="0"/>
        <v>Juvenile</v>
      </c>
      <c r="N40" t="s">
        <v>18</v>
      </c>
    </row>
    <row r="41" spans="1:14" x14ac:dyDescent="0.3">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3">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3">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3">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3">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3">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3">
      <c r="A49">
        <v>29097</v>
      </c>
      <c r="B49" t="s">
        <v>33</v>
      </c>
      <c r="C49" t="s">
        <v>34</v>
      </c>
      <c r="D49" s="2">
        <v>40000</v>
      </c>
      <c r="E49">
        <v>2</v>
      </c>
      <c r="F49" t="s">
        <v>19</v>
      </c>
      <c r="G49" t="s">
        <v>14</v>
      </c>
      <c r="H49" t="s">
        <v>15</v>
      </c>
      <c r="I49">
        <v>2</v>
      </c>
      <c r="J49" t="s">
        <v>23</v>
      </c>
      <c r="K49" t="s">
        <v>24</v>
      </c>
      <c r="L49">
        <v>52</v>
      </c>
      <c r="M49" t="str">
        <f t="shared" si="0"/>
        <v>Old</v>
      </c>
      <c r="N49" t="s">
        <v>15</v>
      </c>
    </row>
    <row r="50" spans="1:14" x14ac:dyDescent="0.3">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3">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3">
      <c r="A52">
        <v>13826</v>
      </c>
      <c r="B52" t="s">
        <v>33</v>
      </c>
      <c r="C52" t="s">
        <v>34</v>
      </c>
      <c r="D52" s="2">
        <v>30000</v>
      </c>
      <c r="E52">
        <v>0</v>
      </c>
      <c r="F52" t="s">
        <v>19</v>
      </c>
      <c r="G52" t="s">
        <v>20</v>
      </c>
      <c r="H52" t="s">
        <v>18</v>
      </c>
      <c r="I52">
        <v>1</v>
      </c>
      <c r="J52" t="s">
        <v>16</v>
      </c>
      <c r="K52" t="s">
        <v>17</v>
      </c>
      <c r="L52">
        <v>28</v>
      </c>
      <c r="M52" t="str">
        <f t="shared" si="0"/>
        <v>Juvenile</v>
      </c>
      <c r="N52" t="s">
        <v>18</v>
      </c>
    </row>
    <row r="53" spans="1:14" x14ac:dyDescent="0.3">
      <c r="A53">
        <v>20619</v>
      </c>
      <c r="B53" t="s">
        <v>33</v>
      </c>
      <c r="C53" t="s">
        <v>35</v>
      </c>
      <c r="D53" s="2">
        <v>80000</v>
      </c>
      <c r="E53">
        <v>0</v>
      </c>
      <c r="F53" t="s">
        <v>13</v>
      </c>
      <c r="G53" t="s">
        <v>21</v>
      </c>
      <c r="H53" t="s">
        <v>18</v>
      </c>
      <c r="I53">
        <v>4</v>
      </c>
      <c r="J53" t="s">
        <v>42</v>
      </c>
      <c r="K53" t="s">
        <v>24</v>
      </c>
      <c r="L53">
        <v>35</v>
      </c>
      <c r="M53" t="str">
        <f t="shared" si="0"/>
        <v>Middle Age</v>
      </c>
      <c r="N53" t="s">
        <v>18</v>
      </c>
    </row>
    <row r="54" spans="1:14" x14ac:dyDescent="0.3">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3">
      <c r="A57">
        <v>28906</v>
      </c>
      <c r="B57" t="s">
        <v>32</v>
      </c>
      <c r="C57" t="s">
        <v>35</v>
      </c>
      <c r="D57" s="2">
        <v>80000</v>
      </c>
      <c r="E57">
        <v>4</v>
      </c>
      <c r="F57" t="s">
        <v>27</v>
      </c>
      <c r="G57" t="s">
        <v>21</v>
      </c>
      <c r="H57" t="s">
        <v>15</v>
      </c>
      <c r="I57">
        <v>2</v>
      </c>
      <c r="J57" t="s">
        <v>42</v>
      </c>
      <c r="K57" t="s">
        <v>17</v>
      </c>
      <c r="L57">
        <v>54</v>
      </c>
      <c r="M57" t="str">
        <f t="shared" si="0"/>
        <v>Old</v>
      </c>
      <c r="N57" t="s">
        <v>18</v>
      </c>
    </row>
    <row r="58" spans="1:14" x14ac:dyDescent="0.3">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3">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3">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3">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3">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3">
      <c r="A64">
        <v>16713</v>
      </c>
      <c r="B64" t="s">
        <v>32</v>
      </c>
      <c r="C64" t="s">
        <v>35</v>
      </c>
      <c r="D64" s="2">
        <v>40000</v>
      </c>
      <c r="E64">
        <v>2</v>
      </c>
      <c r="F64" t="s">
        <v>13</v>
      </c>
      <c r="G64" t="s">
        <v>28</v>
      </c>
      <c r="H64" t="s">
        <v>15</v>
      </c>
      <c r="I64">
        <v>1</v>
      </c>
      <c r="J64" t="s">
        <v>16</v>
      </c>
      <c r="K64" t="s">
        <v>24</v>
      </c>
      <c r="L64">
        <v>52</v>
      </c>
      <c r="M64" t="str">
        <f t="shared" si="0"/>
        <v>Old</v>
      </c>
      <c r="N64" t="s">
        <v>15</v>
      </c>
    </row>
    <row r="65" spans="1:14" x14ac:dyDescent="0.3">
      <c r="A65">
        <v>16185</v>
      </c>
      <c r="B65" t="s">
        <v>33</v>
      </c>
      <c r="C65" t="s">
        <v>35</v>
      </c>
      <c r="D65" s="2">
        <v>60000</v>
      </c>
      <c r="E65">
        <v>4</v>
      </c>
      <c r="F65" t="s">
        <v>13</v>
      </c>
      <c r="G65" t="s">
        <v>21</v>
      </c>
      <c r="H65" t="s">
        <v>15</v>
      </c>
      <c r="I65">
        <v>3</v>
      </c>
      <c r="J65" t="s">
        <v>42</v>
      </c>
      <c r="K65" t="s">
        <v>24</v>
      </c>
      <c r="L65">
        <v>41</v>
      </c>
      <c r="M65" t="str">
        <f t="shared" si="0"/>
        <v>Middle Age</v>
      </c>
      <c r="N65" t="s">
        <v>18</v>
      </c>
    </row>
    <row r="66" spans="1:14" x14ac:dyDescent="0.3">
      <c r="A66">
        <v>14927</v>
      </c>
      <c r="B66" t="s">
        <v>32</v>
      </c>
      <c r="C66" t="s">
        <v>34</v>
      </c>
      <c r="D66" s="2">
        <v>30000</v>
      </c>
      <c r="E66">
        <v>1</v>
      </c>
      <c r="F66" t="s">
        <v>13</v>
      </c>
      <c r="G66" t="s">
        <v>20</v>
      </c>
      <c r="H66" t="s">
        <v>15</v>
      </c>
      <c r="I66">
        <v>0</v>
      </c>
      <c r="J66" t="s">
        <v>16</v>
      </c>
      <c r="K66" t="s">
        <v>17</v>
      </c>
      <c r="L66">
        <v>37</v>
      </c>
      <c r="M66" t="str">
        <f t="shared" si="0"/>
        <v>Middle Age</v>
      </c>
      <c r="N66" t="s">
        <v>15</v>
      </c>
    </row>
    <row r="67" spans="1:14" x14ac:dyDescent="0.3">
      <c r="A67">
        <v>29337</v>
      </c>
      <c r="B67" t="s">
        <v>33</v>
      </c>
      <c r="C67" t="s">
        <v>35</v>
      </c>
      <c r="D67" s="2">
        <v>30000</v>
      </c>
      <c r="E67">
        <v>2</v>
      </c>
      <c r="F67" t="s">
        <v>19</v>
      </c>
      <c r="G67" t="s">
        <v>20</v>
      </c>
      <c r="H67" t="s">
        <v>15</v>
      </c>
      <c r="I67">
        <v>2</v>
      </c>
      <c r="J67" t="s">
        <v>23</v>
      </c>
      <c r="K67" t="s">
        <v>24</v>
      </c>
      <c r="L67">
        <v>68</v>
      </c>
      <c r="M67" t="str">
        <f t="shared" ref="M67:M130" si="1">IF(L67&gt;=50,"Old",IF(L67&gt;=30,"Middle Age",IF(L67&lt;30,"Juvenile","Invalid")))</f>
        <v>Old</v>
      </c>
      <c r="N67" t="s">
        <v>18</v>
      </c>
    </row>
    <row r="68" spans="1:14" x14ac:dyDescent="0.3">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3">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3">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34</v>
      </c>
      <c r="D71" s="2">
        <v>10000</v>
      </c>
      <c r="E71">
        <v>0</v>
      </c>
      <c r="F71" t="s">
        <v>29</v>
      </c>
      <c r="G71" t="s">
        <v>25</v>
      </c>
      <c r="H71" t="s">
        <v>18</v>
      </c>
      <c r="I71">
        <v>2</v>
      </c>
      <c r="J71" t="s">
        <v>16</v>
      </c>
      <c r="K71" t="s">
        <v>17</v>
      </c>
      <c r="L71">
        <v>30</v>
      </c>
      <c r="M71" t="str">
        <f t="shared" si="1"/>
        <v>Middle Age</v>
      </c>
      <c r="N71" t="s">
        <v>18</v>
      </c>
    </row>
    <row r="72" spans="1:14" x14ac:dyDescent="0.3">
      <c r="A72">
        <v>14238</v>
      </c>
      <c r="B72" t="s">
        <v>32</v>
      </c>
      <c r="C72" t="s">
        <v>35</v>
      </c>
      <c r="D72" s="2">
        <v>120000</v>
      </c>
      <c r="E72">
        <v>0</v>
      </c>
      <c r="F72" t="s">
        <v>29</v>
      </c>
      <c r="G72" t="s">
        <v>21</v>
      </c>
      <c r="H72" t="s">
        <v>15</v>
      </c>
      <c r="I72">
        <v>4</v>
      </c>
      <c r="J72" t="s">
        <v>42</v>
      </c>
      <c r="K72" t="s">
        <v>24</v>
      </c>
      <c r="L72">
        <v>36</v>
      </c>
      <c r="M72" t="str">
        <f t="shared" si="1"/>
        <v>Middle Age</v>
      </c>
      <c r="N72" t="s">
        <v>15</v>
      </c>
    </row>
    <row r="73" spans="1:14" x14ac:dyDescent="0.3">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34</v>
      </c>
      <c r="D74" s="2">
        <v>130000</v>
      </c>
      <c r="E74">
        <v>3</v>
      </c>
      <c r="F74" t="s">
        <v>27</v>
      </c>
      <c r="G74" t="s">
        <v>21</v>
      </c>
      <c r="H74" t="s">
        <v>15</v>
      </c>
      <c r="I74">
        <v>4</v>
      </c>
      <c r="J74" t="s">
        <v>16</v>
      </c>
      <c r="K74" t="s">
        <v>17</v>
      </c>
      <c r="L74">
        <v>52</v>
      </c>
      <c r="M74" t="str">
        <f t="shared" si="1"/>
        <v>Old</v>
      </c>
      <c r="N74" t="s">
        <v>18</v>
      </c>
    </row>
    <row r="75" spans="1:14" x14ac:dyDescent="0.3">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3">
      <c r="A78">
        <v>16188</v>
      </c>
      <c r="B78" t="s">
        <v>33</v>
      </c>
      <c r="C78" t="s">
        <v>34</v>
      </c>
      <c r="D78" s="2">
        <v>20000</v>
      </c>
      <c r="E78">
        <v>0</v>
      </c>
      <c r="F78" t="s">
        <v>29</v>
      </c>
      <c r="G78" t="s">
        <v>25</v>
      </c>
      <c r="H78" t="s">
        <v>18</v>
      </c>
      <c r="I78">
        <v>2</v>
      </c>
      <c r="J78" t="s">
        <v>26</v>
      </c>
      <c r="K78" t="s">
        <v>17</v>
      </c>
      <c r="L78">
        <v>26</v>
      </c>
      <c r="M78" t="str">
        <f t="shared" si="1"/>
        <v>Juvenile</v>
      </c>
      <c r="N78" t="s">
        <v>18</v>
      </c>
    </row>
    <row r="79" spans="1:14" x14ac:dyDescent="0.3">
      <c r="A79">
        <v>27969</v>
      </c>
      <c r="B79" t="s">
        <v>32</v>
      </c>
      <c r="C79" t="s">
        <v>35</v>
      </c>
      <c r="D79" s="2">
        <v>80000</v>
      </c>
      <c r="E79">
        <v>0</v>
      </c>
      <c r="F79" t="s">
        <v>13</v>
      </c>
      <c r="G79" t="s">
        <v>21</v>
      </c>
      <c r="H79" t="s">
        <v>15</v>
      </c>
      <c r="I79">
        <v>2</v>
      </c>
      <c r="J79" t="s">
        <v>42</v>
      </c>
      <c r="K79" t="s">
        <v>24</v>
      </c>
      <c r="L79">
        <v>29</v>
      </c>
      <c r="M79" t="str">
        <f t="shared" si="1"/>
        <v>Juvenile</v>
      </c>
      <c r="N79" t="s">
        <v>15</v>
      </c>
    </row>
    <row r="80" spans="1:14" x14ac:dyDescent="0.3">
      <c r="A80">
        <v>15752</v>
      </c>
      <c r="B80" t="s">
        <v>32</v>
      </c>
      <c r="C80" t="s">
        <v>35</v>
      </c>
      <c r="D80" s="2">
        <v>80000</v>
      </c>
      <c r="E80">
        <v>2</v>
      </c>
      <c r="F80" t="s">
        <v>27</v>
      </c>
      <c r="G80" t="s">
        <v>14</v>
      </c>
      <c r="H80" t="s">
        <v>18</v>
      </c>
      <c r="I80">
        <v>2</v>
      </c>
      <c r="J80" t="s">
        <v>26</v>
      </c>
      <c r="K80" t="s">
        <v>24</v>
      </c>
      <c r="L80">
        <v>50</v>
      </c>
      <c r="M80" t="str">
        <f t="shared" si="1"/>
        <v>Old</v>
      </c>
      <c r="N80" t="s">
        <v>15</v>
      </c>
    </row>
    <row r="81" spans="1:14" x14ac:dyDescent="0.3">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3">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3">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3">
      <c r="A85">
        <v>28412</v>
      </c>
      <c r="B85" t="s">
        <v>33</v>
      </c>
      <c r="C85" t="s">
        <v>35</v>
      </c>
      <c r="D85" s="2">
        <v>20000</v>
      </c>
      <c r="E85">
        <v>0</v>
      </c>
      <c r="F85" t="s">
        <v>27</v>
      </c>
      <c r="G85" t="s">
        <v>25</v>
      </c>
      <c r="H85" t="s">
        <v>18</v>
      </c>
      <c r="I85">
        <v>1</v>
      </c>
      <c r="J85" t="s">
        <v>22</v>
      </c>
      <c r="K85" t="s">
        <v>17</v>
      </c>
      <c r="L85">
        <v>29</v>
      </c>
      <c r="M85" t="str">
        <f t="shared" si="1"/>
        <v>Juvenile</v>
      </c>
      <c r="N85" t="s">
        <v>18</v>
      </c>
    </row>
    <row r="86" spans="1:14" x14ac:dyDescent="0.3">
      <c r="A86">
        <v>24485</v>
      </c>
      <c r="B86" t="s">
        <v>33</v>
      </c>
      <c r="C86" t="s">
        <v>35</v>
      </c>
      <c r="D86" s="2">
        <v>40000</v>
      </c>
      <c r="E86">
        <v>2</v>
      </c>
      <c r="F86" t="s">
        <v>13</v>
      </c>
      <c r="G86" t="s">
        <v>28</v>
      </c>
      <c r="H86" t="s">
        <v>18</v>
      </c>
      <c r="I86">
        <v>1</v>
      </c>
      <c r="J86" t="s">
        <v>23</v>
      </c>
      <c r="K86" t="s">
        <v>24</v>
      </c>
      <c r="L86">
        <v>52</v>
      </c>
      <c r="M86" t="str">
        <f t="shared" si="1"/>
        <v>Old</v>
      </c>
      <c r="N86" t="s">
        <v>15</v>
      </c>
    </row>
    <row r="87" spans="1:14" x14ac:dyDescent="0.3">
      <c r="A87">
        <v>16514</v>
      </c>
      <c r="B87" t="s">
        <v>33</v>
      </c>
      <c r="C87" t="s">
        <v>35</v>
      </c>
      <c r="D87" s="2">
        <v>10000</v>
      </c>
      <c r="E87">
        <v>0</v>
      </c>
      <c r="F87" t="s">
        <v>19</v>
      </c>
      <c r="G87" t="s">
        <v>25</v>
      </c>
      <c r="H87" t="s">
        <v>15</v>
      </c>
      <c r="I87">
        <v>1</v>
      </c>
      <c r="J87" t="s">
        <v>26</v>
      </c>
      <c r="K87" t="s">
        <v>24</v>
      </c>
      <c r="L87">
        <v>26</v>
      </c>
      <c r="M87" t="str">
        <f t="shared" si="1"/>
        <v>Juvenile</v>
      </c>
      <c r="N87" t="s">
        <v>15</v>
      </c>
    </row>
    <row r="88" spans="1:14" x14ac:dyDescent="0.3">
      <c r="A88">
        <v>17191</v>
      </c>
      <c r="B88" t="s">
        <v>33</v>
      </c>
      <c r="C88" t="s">
        <v>35</v>
      </c>
      <c r="D88" s="2">
        <v>130000</v>
      </c>
      <c r="E88">
        <v>3</v>
      </c>
      <c r="F88" t="s">
        <v>19</v>
      </c>
      <c r="G88" t="s">
        <v>21</v>
      </c>
      <c r="H88" t="s">
        <v>18</v>
      </c>
      <c r="I88">
        <v>3</v>
      </c>
      <c r="J88" t="s">
        <v>16</v>
      </c>
      <c r="K88" t="s">
        <v>17</v>
      </c>
      <c r="L88">
        <v>51</v>
      </c>
      <c r="M88" t="str">
        <f t="shared" si="1"/>
        <v>Old</v>
      </c>
      <c r="N88" t="s">
        <v>15</v>
      </c>
    </row>
    <row r="89" spans="1:14" x14ac:dyDescent="0.3">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3">
      <c r="A90">
        <v>24119</v>
      </c>
      <c r="B90" t="s">
        <v>33</v>
      </c>
      <c r="C90" t="s">
        <v>35</v>
      </c>
      <c r="D90" s="2">
        <v>30000</v>
      </c>
      <c r="E90">
        <v>0</v>
      </c>
      <c r="F90" t="s">
        <v>19</v>
      </c>
      <c r="G90" t="s">
        <v>20</v>
      </c>
      <c r="H90" t="s">
        <v>18</v>
      </c>
      <c r="I90">
        <v>1</v>
      </c>
      <c r="J90" t="s">
        <v>22</v>
      </c>
      <c r="K90" t="s">
        <v>17</v>
      </c>
      <c r="L90">
        <v>29</v>
      </c>
      <c r="M90" t="str">
        <f t="shared" si="1"/>
        <v>Juvenile</v>
      </c>
      <c r="N90" t="s">
        <v>18</v>
      </c>
    </row>
    <row r="91" spans="1:14" x14ac:dyDescent="0.3">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3">
      <c r="A92">
        <v>26886</v>
      </c>
      <c r="B92" t="s">
        <v>33</v>
      </c>
      <c r="C92" t="s">
        <v>34</v>
      </c>
      <c r="D92" s="2">
        <v>30000</v>
      </c>
      <c r="E92">
        <v>0</v>
      </c>
      <c r="F92" t="s">
        <v>19</v>
      </c>
      <c r="G92" t="s">
        <v>20</v>
      </c>
      <c r="H92" t="s">
        <v>18</v>
      </c>
      <c r="I92">
        <v>1</v>
      </c>
      <c r="J92" t="s">
        <v>16</v>
      </c>
      <c r="K92" t="s">
        <v>17</v>
      </c>
      <c r="L92">
        <v>29</v>
      </c>
      <c r="M92" t="str">
        <f t="shared" si="1"/>
        <v>Juvenile</v>
      </c>
      <c r="N92" t="s">
        <v>15</v>
      </c>
    </row>
    <row r="93" spans="1:14" x14ac:dyDescent="0.3">
      <c r="A93">
        <v>28436</v>
      </c>
      <c r="B93" t="s">
        <v>33</v>
      </c>
      <c r="C93" t="s">
        <v>35</v>
      </c>
      <c r="D93" s="2">
        <v>30000</v>
      </c>
      <c r="E93">
        <v>0</v>
      </c>
      <c r="F93" t="s">
        <v>19</v>
      </c>
      <c r="G93" t="s">
        <v>20</v>
      </c>
      <c r="H93" t="s">
        <v>18</v>
      </c>
      <c r="I93">
        <v>1</v>
      </c>
      <c r="J93" t="s">
        <v>16</v>
      </c>
      <c r="K93" t="s">
        <v>17</v>
      </c>
      <c r="L93">
        <v>30</v>
      </c>
      <c r="M93" t="str">
        <f t="shared" si="1"/>
        <v>Middle Age</v>
      </c>
      <c r="N93" t="s">
        <v>15</v>
      </c>
    </row>
    <row r="94" spans="1:14" x14ac:dyDescent="0.3">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3">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3">
      <c r="A96">
        <v>16487</v>
      </c>
      <c r="B96" t="s">
        <v>33</v>
      </c>
      <c r="C96" t="s">
        <v>34</v>
      </c>
      <c r="D96" s="2">
        <v>30000</v>
      </c>
      <c r="E96">
        <v>3</v>
      </c>
      <c r="F96" t="s">
        <v>27</v>
      </c>
      <c r="G96" t="s">
        <v>14</v>
      </c>
      <c r="H96" t="s">
        <v>15</v>
      </c>
      <c r="I96">
        <v>2</v>
      </c>
      <c r="J96" t="s">
        <v>23</v>
      </c>
      <c r="K96" t="s">
        <v>24</v>
      </c>
      <c r="L96">
        <v>55</v>
      </c>
      <c r="M96" t="str">
        <f t="shared" si="1"/>
        <v>Old</v>
      </c>
      <c r="N96" t="s">
        <v>18</v>
      </c>
    </row>
    <row r="97" spans="1:14" x14ac:dyDescent="0.3">
      <c r="A97">
        <v>17197</v>
      </c>
      <c r="B97" t="s">
        <v>33</v>
      </c>
      <c r="C97" t="s">
        <v>34</v>
      </c>
      <c r="D97" s="2">
        <v>90000</v>
      </c>
      <c r="E97">
        <v>5</v>
      </c>
      <c r="F97" t="s">
        <v>19</v>
      </c>
      <c r="G97" t="s">
        <v>21</v>
      </c>
      <c r="H97" t="s">
        <v>15</v>
      </c>
      <c r="I97">
        <v>2</v>
      </c>
      <c r="J97" t="s">
        <v>42</v>
      </c>
      <c r="K97" t="s">
        <v>17</v>
      </c>
      <c r="L97">
        <v>62</v>
      </c>
      <c r="M97" t="str">
        <f t="shared" si="1"/>
        <v>Old</v>
      </c>
      <c r="N97" t="s">
        <v>18</v>
      </c>
    </row>
    <row r="98" spans="1:14" x14ac:dyDescent="0.3">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3">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35</v>
      </c>
      <c r="D100" s="2">
        <v>40000</v>
      </c>
      <c r="E100">
        <v>0</v>
      </c>
      <c r="F100" t="s">
        <v>30</v>
      </c>
      <c r="G100" t="s">
        <v>20</v>
      </c>
      <c r="H100" t="s">
        <v>15</v>
      </c>
      <c r="I100">
        <v>0</v>
      </c>
      <c r="J100" t="s">
        <v>16</v>
      </c>
      <c r="K100" t="s">
        <v>17</v>
      </c>
      <c r="L100">
        <v>25</v>
      </c>
      <c r="M100" t="str">
        <f t="shared" si="1"/>
        <v>Juvenile</v>
      </c>
      <c r="N100" t="s">
        <v>15</v>
      </c>
    </row>
    <row r="101" spans="1:14" x14ac:dyDescent="0.3">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34</v>
      </c>
      <c r="D107" s="2">
        <v>30000</v>
      </c>
      <c r="E107">
        <v>0</v>
      </c>
      <c r="F107" t="s">
        <v>19</v>
      </c>
      <c r="G107" t="s">
        <v>20</v>
      </c>
      <c r="H107" t="s">
        <v>18</v>
      </c>
      <c r="I107">
        <v>1</v>
      </c>
      <c r="J107" t="s">
        <v>22</v>
      </c>
      <c r="K107" t="s">
        <v>17</v>
      </c>
      <c r="L107">
        <v>30</v>
      </c>
      <c r="M107" t="str">
        <f t="shared" si="1"/>
        <v>Middle Age</v>
      </c>
      <c r="N107" t="s">
        <v>18</v>
      </c>
    </row>
    <row r="108" spans="1:14" x14ac:dyDescent="0.3">
      <c r="A108">
        <v>20430</v>
      </c>
      <c r="B108" t="s">
        <v>32</v>
      </c>
      <c r="C108" t="s">
        <v>35</v>
      </c>
      <c r="D108" s="2">
        <v>70000</v>
      </c>
      <c r="E108">
        <v>2</v>
      </c>
      <c r="F108" t="s">
        <v>19</v>
      </c>
      <c r="G108" t="s">
        <v>14</v>
      </c>
      <c r="H108" t="s">
        <v>15</v>
      </c>
      <c r="I108">
        <v>2</v>
      </c>
      <c r="J108" t="s">
        <v>23</v>
      </c>
      <c r="K108" t="s">
        <v>24</v>
      </c>
      <c r="L108">
        <v>52</v>
      </c>
      <c r="M108" t="str">
        <f t="shared" si="1"/>
        <v>Old</v>
      </c>
      <c r="N108" t="s">
        <v>15</v>
      </c>
    </row>
    <row r="109" spans="1:14" x14ac:dyDescent="0.3">
      <c r="A109">
        <v>27494</v>
      </c>
      <c r="B109" t="s">
        <v>33</v>
      </c>
      <c r="C109" t="s">
        <v>34</v>
      </c>
      <c r="D109" s="2">
        <v>40000</v>
      </c>
      <c r="E109">
        <v>2</v>
      </c>
      <c r="F109" t="s">
        <v>19</v>
      </c>
      <c r="G109" t="s">
        <v>14</v>
      </c>
      <c r="H109" t="s">
        <v>18</v>
      </c>
      <c r="I109">
        <v>2</v>
      </c>
      <c r="J109" t="s">
        <v>26</v>
      </c>
      <c r="K109" t="s">
        <v>24</v>
      </c>
      <c r="L109">
        <v>53</v>
      </c>
      <c r="M109" t="str">
        <f t="shared" si="1"/>
        <v>Old</v>
      </c>
      <c r="N109" t="s">
        <v>15</v>
      </c>
    </row>
    <row r="110" spans="1:14" x14ac:dyDescent="0.3">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35</v>
      </c>
      <c r="D116" s="2">
        <v>20000</v>
      </c>
      <c r="E116">
        <v>0</v>
      </c>
      <c r="F116" t="s">
        <v>13</v>
      </c>
      <c r="G116" t="s">
        <v>20</v>
      </c>
      <c r="H116" t="s">
        <v>15</v>
      </c>
      <c r="I116">
        <v>0</v>
      </c>
      <c r="J116" t="s">
        <v>16</v>
      </c>
      <c r="K116" t="s">
        <v>24</v>
      </c>
      <c r="L116">
        <v>26</v>
      </c>
      <c r="M116" t="str">
        <f t="shared" si="1"/>
        <v>Juvenile</v>
      </c>
      <c r="N116" t="s">
        <v>15</v>
      </c>
    </row>
    <row r="117" spans="1:14" x14ac:dyDescent="0.3">
      <c r="A117">
        <v>24140</v>
      </c>
      <c r="B117" t="s">
        <v>33</v>
      </c>
      <c r="C117" t="s">
        <v>35</v>
      </c>
      <c r="D117" s="2">
        <v>10000</v>
      </c>
      <c r="E117">
        <v>0</v>
      </c>
      <c r="F117" t="s">
        <v>30</v>
      </c>
      <c r="G117" t="s">
        <v>25</v>
      </c>
      <c r="H117" t="s">
        <v>18</v>
      </c>
      <c r="I117">
        <v>0</v>
      </c>
      <c r="J117" t="s">
        <v>16</v>
      </c>
      <c r="K117" t="s">
        <v>17</v>
      </c>
      <c r="L117">
        <v>30</v>
      </c>
      <c r="M117" t="str">
        <f t="shared" si="1"/>
        <v>Middle Age</v>
      </c>
      <c r="N117" t="s">
        <v>15</v>
      </c>
    </row>
    <row r="118" spans="1:14" x14ac:dyDescent="0.3">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2">
        <v>30000</v>
      </c>
      <c r="E121">
        <v>0</v>
      </c>
      <c r="F121" t="s">
        <v>19</v>
      </c>
      <c r="G121" t="s">
        <v>20</v>
      </c>
      <c r="H121" t="s">
        <v>18</v>
      </c>
      <c r="I121">
        <v>1</v>
      </c>
      <c r="J121" t="s">
        <v>22</v>
      </c>
      <c r="K121" t="s">
        <v>17</v>
      </c>
      <c r="L121">
        <v>29</v>
      </c>
      <c r="M121" t="str">
        <f t="shared" si="1"/>
        <v>Juvenile</v>
      </c>
      <c r="N121" t="s">
        <v>18</v>
      </c>
    </row>
    <row r="122" spans="1:14" x14ac:dyDescent="0.3">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34</v>
      </c>
      <c r="D124" s="2">
        <v>80000</v>
      </c>
      <c r="E124">
        <v>0</v>
      </c>
      <c r="F124" t="s">
        <v>13</v>
      </c>
      <c r="G124" t="s">
        <v>21</v>
      </c>
      <c r="H124" t="s">
        <v>18</v>
      </c>
      <c r="I124">
        <v>3</v>
      </c>
      <c r="J124" t="s">
        <v>42</v>
      </c>
      <c r="K124" t="s">
        <v>24</v>
      </c>
      <c r="L124">
        <v>31</v>
      </c>
      <c r="M124" t="str">
        <f t="shared" si="1"/>
        <v>Middle Age</v>
      </c>
      <c r="N124" t="s">
        <v>18</v>
      </c>
    </row>
    <row r="125" spans="1:14" x14ac:dyDescent="0.3">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35</v>
      </c>
      <c r="D130" s="2">
        <v>10000</v>
      </c>
      <c r="E130">
        <v>2</v>
      </c>
      <c r="F130" t="s">
        <v>19</v>
      </c>
      <c r="G130" t="s">
        <v>25</v>
      </c>
      <c r="H130" t="s">
        <v>15</v>
      </c>
      <c r="I130">
        <v>1</v>
      </c>
      <c r="J130" t="s">
        <v>16</v>
      </c>
      <c r="K130" t="s">
        <v>17</v>
      </c>
      <c r="L130">
        <v>52</v>
      </c>
      <c r="M130" t="str">
        <f t="shared" si="1"/>
        <v>Old</v>
      </c>
      <c r="N130" t="s">
        <v>15</v>
      </c>
    </row>
    <row r="131" spans="1:14" x14ac:dyDescent="0.3">
      <c r="A131">
        <v>26818</v>
      </c>
      <c r="B131" t="s">
        <v>33</v>
      </c>
      <c r="C131" t="s">
        <v>35</v>
      </c>
      <c r="D131" s="2">
        <v>10000</v>
      </c>
      <c r="E131">
        <v>3</v>
      </c>
      <c r="F131" t="s">
        <v>27</v>
      </c>
      <c r="G131" t="s">
        <v>25</v>
      </c>
      <c r="H131" t="s">
        <v>15</v>
      </c>
      <c r="I131">
        <v>1</v>
      </c>
      <c r="J131" t="s">
        <v>16</v>
      </c>
      <c r="K131" t="s">
        <v>17</v>
      </c>
      <c r="L131">
        <v>39</v>
      </c>
      <c r="M131" t="str">
        <f t="shared" ref="M131:M194" si="2">IF(L131&gt;=50,"Old",IF(L131&gt;=30,"Middle Age",IF(L131&lt;30,"Juvenile","Invalid")))</f>
        <v>Middle Age</v>
      </c>
      <c r="N131" t="s">
        <v>15</v>
      </c>
    </row>
    <row r="132" spans="1:14" x14ac:dyDescent="0.3">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35</v>
      </c>
      <c r="D137" s="2">
        <v>10000</v>
      </c>
      <c r="E137">
        <v>2</v>
      </c>
      <c r="F137" t="s">
        <v>19</v>
      </c>
      <c r="G137" t="s">
        <v>25</v>
      </c>
      <c r="H137" t="s">
        <v>15</v>
      </c>
      <c r="I137">
        <v>1</v>
      </c>
      <c r="J137" t="s">
        <v>22</v>
      </c>
      <c r="K137" t="s">
        <v>17</v>
      </c>
      <c r="L137">
        <v>52</v>
      </c>
      <c r="M137" t="str">
        <f t="shared" si="2"/>
        <v>Old</v>
      </c>
      <c r="N137" t="s">
        <v>18</v>
      </c>
    </row>
    <row r="138" spans="1:14" x14ac:dyDescent="0.3">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34</v>
      </c>
      <c r="D143" s="2">
        <v>10000</v>
      </c>
      <c r="E143">
        <v>0</v>
      </c>
      <c r="F143" t="s">
        <v>19</v>
      </c>
      <c r="G143" t="s">
        <v>25</v>
      </c>
      <c r="H143" t="s">
        <v>18</v>
      </c>
      <c r="I143">
        <v>1</v>
      </c>
      <c r="J143" t="s">
        <v>16</v>
      </c>
      <c r="K143" t="s">
        <v>24</v>
      </c>
      <c r="L143">
        <v>26</v>
      </c>
      <c r="M143" t="str">
        <f t="shared" si="2"/>
        <v>Juvenile</v>
      </c>
      <c r="N143" t="s">
        <v>15</v>
      </c>
    </row>
    <row r="144" spans="1:14" x14ac:dyDescent="0.3">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34</v>
      </c>
      <c r="D145" s="2">
        <v>80000</v>
      </c>
      <c r="E145">
        <v>0</v>
      </c>
      <c r="F145" t="s">
        <v>13</v>
      </c>
      <c r="G145" t="s">
        <v>21</v>
      </c>
      <c r="H145" t="s">
        <v>15</v>
      </c>
      <c r="I145">
        <v>3</v>
      </c>
      <c r="J145" t="s">
        <v>42</v>
      </c>
      <c r="K145" t="s">
        <v>24</v>
      </c>
      <c r="L145">
        <v>32</v>
      </c>
      <c r="M145" t="str">
        <f t="shared" si="2"/>
        <v>Middle Age</v>
      </c>
      <c r="N145" t="s">
        <v>18</v>
      </c>
    </row>
    <row r="146" spans="1:14" x14ac:dyDescent="0.3">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2">
        <v>30000</v>
      </c>
      <c r="E151">
        <v>0</v>
      </c>
      <c r="F151" t="s">
        <v>19</v>
      </c>
      <c r="G151" t="s">
        <v>20</v>
      </c>
      <c r="H151" t="s">
        <v>18</v>
      </c>
      <c r="I151">
        <v>1</v>
      </c>
      <c r="J151" t="s">
        <v>26</v>
      </c>
      <c r="K151" t="s">
        <v>17</v>
      </c>
      <c r="L151">
        <v>27</v>
      </c>
      <c r="M151" t="str">
        <f t="shared" si="2"/>
        <v>Juvenile</v>
      </c>
      <c r="N151" t="s">
        <v>18</v>
      </c>
    </row>
    <row r="152" spans="1:14" x14ac:dyDescent="0.3">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2">
        <v>10000</v>
      </c>
      <c r="E159">
        <v>2</v>
      </c>
      <c r="F159" t="s">
        <v>19</v>
      </c>
      <c r="G159" t="s">
        <v>25</v>
      </c>
      <c r="H159" t="s">
        <v>18</v>
      </c>
      <c r="I159">
        <v>0</v>
      </c>
      <c r="J159" t="s">
        <v>16</v>
      </c>
      <c r="K159" t="s">
        <v>17</v>
      </c>
      <c r="L159">
        <v>50</v>
      </c>
      <c r="M159" t="str">
        <f t="shared" si="2"/>
        <v>Old</v>
      </c>
      <c r="N159" t="s">
        <v>18</v>
      </c>
    </row>
    <row r="160" spans="1:14" x14ac:dyDescent="0.3">
      <c r="A160">
        <v>25605</v>
      </c>
      <c r="B160" t="s">
        <v>33</v>
      </c>
      <c r="C160" t="s">
        <v>34</v>
      </c>
      <c r="D160" s="2">
        <v>20000</v>
      </c>
      <c r="E160">
        <v>2</v>
      </c>
      <c r="F160" t="s">
        <v>19</v>
      </c>
      <c r="G160" t="s">
        <v>25</v>
      </c>
      <c r="H160" t="s">
        <v>18</v>
      </c>
      <c r="I160">
        <v>1</v>
      </c>
      <c r="J160" t="s">
        <v>16</v>
      </c>
      <c r="K160" t="s">
        <v>17</v>
      </c>
      <c r="L160">
        <v>54</v>
      </c>
      <c r="M160" t="str">
        <f t="shared" si="2"/>
        <v>Old</v>
      </c>
      <c r="N160" t="s">
        <v>15</v>
      </c>
    </row>
    <row r="161" spans="1:14" x14ac:dyDescent="0.3">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35</v>
      </c>
      <c r="D165" s="2">
        <v>40000</v>
      </c>
      <c r="E165">
        <v>2</v>
      </c>
      <c r="F165" t="s">
        <v>19</v>
      </c>
      <c r="G165" t="s">
        <v>14</v>
      </c>
      <c r="H165" t="s">
        <v>18</v>
      </c>
      <c r="I165">
        <v>2</v>
      </c>
      <c r="J165" t="s">
        <v>26</v>
      </c>
      <c r="K165" t="s">
        <v>24</v>
      </c>
      <c r="L165">
        <v>52</v>
      </c>
      <c r="M165" t="str">
        <f t="shared" si="2"/>
        <v>Old</v>
      </c>
      <c r="N165" t="s">
        <v>18</v>
      </c>
    </row>
    <row r="166" spans="1:14" x14ac:dyDescent="0.3">
      <c r="A166">
        <v>22402</v>
      </c>
      <c r="B166" t="s">
        <v>32</v>
      </c>
      <c r="C166" t="s">
        <v>35</v>
      </c>
      <c r="D166" s="2">
        <v>10000</v>
      </c>
      <c r="E166">
        <v>0</v>
      </c>
      <c r="F166" t="s">
        <v>19</v>
      </c>
      <c r="G166" t="s">
        <v>25</v>
      </c>
      <c r="H166" t="s">
        <v>15</v>
      </c>
      <c r="I166">
        <v>1</v>
      </c>
      <c r="J166" t="s">
        <v>22</v>
      </c>
      <c r="K166" t="s">
        <v>24</v>
      </c>
      <c r="L166">
        <v>25</v>
      </c>
      <c r="M166" t="str">
        <f t="shared" si="2"/>
        <v>Juvenile</v>
      </c>
      <c r="N166" t="s">
        <v>15</v>
      </c>
    </row>
    <row r="167" spans="1:14" x14ac:dyDescent="0.3">
      <c r="A167">
        <v>15465</v>
      </c>
      <c r="B167" t="s">
        <v>32</v>
      </c>
      <c r="C167" t="s">
        <v>34</v>
      </c>
      <c r="D167" s="2">
        <v>10000</v>
      </c>
      <c r="E167">
        <v>0</v>
      </c>
      <c r="F167" t="s">
        <v>19</v>
      </c>
      <c r="G167" t="s">
        <v>25</v>
      </c>
      <c r="H167" t="s">
        <v>18</v>
      </c>
      <c r="I167">
        <v>1</v>
      </c>
      <c r="J167" t="s">
        <v>16</v>
      </c>
      <c r="K167" t="s">
        <v>24</v>
      </c>
      <c r="L167">
        <v>25</v>
      </c>
      <c r="M167" t="str">
        <f t="shared" si="2"/>
        <v>Juvenile</v>
      </c>
      <c r="N167" t="s">
        <v>18</v>
      </c>
    </row>
    <row r="168" spans="1:14" x14ac:dyDescent="0.3">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35</v>
      </c>
      <c r="D169" s="2">
        <v>100000</v>
      </c>
      <c r="E169">
        <v>0</v>
      </c>
      <c r="F169" t="s">
        <v>27</v>
      </c>
      <c r="G169" t="s">
        <v>28</v>
      </c>
      <c r="H169" t="s">
        <v>15</v>
      </c>
      <c r="I169">
        <v>3</v>
      </c>
      <c r="J169" t="s">
        <v>42</v>
      </c>
      <c r="K169" t="s">
        <v>24</v>
      </c>
      <c r="L169">
        <v>35</v>
      </c>
      <c r="M169" t="str">
        <f t="shared" si="2"/>
        <v>Middle Age</v>
      </c>
      <c r="N169" t="s">
        <v>18</v>
      </c>
    </row>
    <row r="170" spans="1:14" x14ac:dyDescent="0.3">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34</v>
      </c>
      <c r="D175" s="2">
        <v>10000</v>
      </c>
      <c r="E175">
        <v>0</v>
      </c>
      <c r="F175" t="s">
        <v>19</v>
      </c>
      <c r="G175" t="s">
        <v>25</v>
      </c>
      <c r="H175" t="s">
        <v>15</v>
      </c>
      <c r="I175">
        <v>1</v>
      </c>
      <c r="J175" t="s">
        <v>22</v>
      </c>
      <c r="K175" t="s">
        <v>24</v>
      </c>
      <c r="L175">
        <v>27</v>
      </c>
      <c r="M175" t="str">
        <f t="shared" si="2"/>
        <v>Juvenile</v>
      </c>
      <c r="N175" t="s">
        <v>18</v>
      </c>
    </row>
    <row r="176" spans="1:14" x14ac:dyDescent="0.3">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34</v>
      </c>
      <c r="D177" s="2">
        <v>80000</v>
      </c>
      <c r="E177">
        <v>2</v>
      </c>
      <c r="F177" t="s">
        <v>19</v>
      </c>
      <c r="G177" t="s">
        <v>14</v>
      </c>
      <c r="H177" t="s">
        <v>15</v>
      </c>
      <c r="I177">
        <v>2</v>
      </c>
      <c r="J177" t="s">
        <v>23</v>
      </c>
      <c r="K177" t="s">
        <v>24</v>
      </c>
      <c r="L177">
        <v>52</v>
      </c>
      <c r="M177" t="str">
        <f t="shared" si="2"/>
        <v>Old</v>
      </c>
      <c r="N177" t="s">
        <v>15</v>
      </c>
    </row>
    <row r="178" spans="1:14" x14ac:dyDescent="0.3">
      <c r="A178">
        <v>12253</v>
      </c>
      <c r="B178" t="s">
        <v>33</v>
      </c>
      <c r="C178" t="s">
        <v>34</v>
      </c>
      <c r="D178" s="2">
        <v>20000</v>
      </c>
      <c r="E178">
        <v>0</v>
      </c>
      <c r="F178" t="s">
        <v>19</v>
      </c>
      <c r="G178" t="s">
        <v>25</v>
      </c>
      <c r="H178" t="s">
        <v>15</v>
      </c>
      <c r="I178">
        <v>0</v>
      </c>
      <c r="J178" t="s">
        <v>16</v>
      </c>
      <c r="K178" t="s">
        <v>24</v>
      </c>
      <c r="L178">
        <v>29</v>
      </c>
      <c r="M178" t="str">
        <f t="shared" si="2"/>
        <v>Juvenile</v>
      </c>
      <c r="N178" t="s">
        <v>15</v>
      </c>
    </row>
    <row r="179" spans="1:14" x14ac:dyDescent="0.3">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35</v>
      </c>
      <c r="D180" s="2">
        <v>160000</v>
      </c>
      <c r="E180">
        <v>4</v>
      </c>
      <c r="F180" t="s">
        <v>19</v>
      </c>
      <c r="G180" t="s">
        <v>21</v>
      </c>
      <c r="H180" t="s">
        <v>18</v>
      </c>
      <c r="I180">
        <v>2</v>
      </c>
      <c r="J180" t="s">
        <v>42</v>
      </c>
      <c r="K180" t="s">
        <v>17</v>
      </c>
      <c r="L180">
        <v>55</v>
      </c>
      <c r="M180" t="str">
        <f t="shared" si="2"/>
        <v>Old</v>
      </c>
      <c r="N180" t="s">
        <v>15</v>
      </c>
    </row>
    <row r="181" spans="1:14" x14ac:dyDescent="0.3">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34</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2">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2">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34</v>
      </c>
      <c r="D190" s="2">
        <v>70000</v>
      </c>
      <c r="E190">
        <v>0</v>
      </c>
      <c r="F190" t="s">
        <v>13</v>
      </c>
      <c r="G190" t="s">
        <v>21</v>
      </c>
      <c r="H190" t="s">
        <v>15</v>
      </c>
      <c r="I190">
        <v>4</v>
      </c>
      <c r="J190" t="s">
        <v>42</v>
      </c>
      <c r="K190" t="s">
        <v>24</v>
      </c>
      <c r="L190">
        <v>32</v>
      </c>
      <c r="M190" t="str">
        <f t="shared" si="2"/>
        <v>Middle Age</v>
      </c>
      <c r="N190" t="s">
        <v>15</v>
      </c>
    </row>
    <row r="191" spans="1:14" x14ac:dyDescent="0.3">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35</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34</v>
      </c>
      <c r="D194" s="2">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34</v>
      </c>
      <c r="D195" s="2">
        <v>70000</v>
      </c>
      <c r="E195">
        <v>5</v>
      </c>
      <c r="F195" t="s">
        <v>13</v>
      </c>
      <c r="G195" t="s">
        <v>21</v>
      </c>
      <c r="H195" t="s">
        <v>15</v>
      </c>
      <c r="I195">
        <v>4</v>
      </c>
      <c r="J195" t="s">
        <v>42</v>
      </c>
      <c r="K195" t="s">
        <v>24</v>
      </c>
      <c r="L195">
        <v>41</v>
      </c>
      <c r="M195" t="str">
        <f t="shared" ref="M195:M258" si="3">IF(L195&gt;=50,"Old",IF(L195&gt;=30,"Middle Age",IF(L195&lt;30,"Juvenile","Invalid")))</f>
        <v>Middle Age</v>
      </c>
      <c r="N195" t="s">
        <v>18</v>
      </c>
    </row>
    <row r="196" spans="1:14" x14ac:dyDescent="0.3">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35</v>
      </c>
      <c r="D197" s="2">
        <v>20000</v>
      </c>
      <c r="E197">
        <v>0</v>
      </c>
      <c r="F197" t="s">
        <v>13</v>
      </c>
      <c r="G197" t="s">
        <v>20</v>
      </c>
      <c r="H197" t="s">
        <v>15</v>
      </c>
      <c r="I197">
        <v>0</v>
      </c>
      <c r="J197" t="s">
        <v>16</v>
      </c>
      <c r="K197" t="s">
        <v>24</v>
      </c>
      <c r="L197">
        <v>25</v>
      </c>
      <c r="M197" t="str">
        <f t="shared" si="3"/>
        <v>Juvenile</v>
      </c>
      <c r="N197" t="s">
        <v>15</v>
      </c>
    </row>
    <row r="198" spans="1:14" x14ac:dyDescent="0.3">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35</v>
      </c>
      <c r="D201" s="2">
        <v>80000</v>
      </c>
      <c r="E201">
        <v>0</v>
      </c>
      <c r="F201" t="s">
        <v>13</v>
      </c>
      <c r="G201" t="s">
        <v>21</v>
      </c>
      <c r="H201" t="s">
        <v>18</v>
      </c>
      <c r="I201">
        <v>3</v>
      </c>
      <c r="J201" t="s">
        <v>42</v>
      </c>
      <c r="K201" t="s">
        <v>24</v>
      </c>
      <c r="L201">
        <v>33</v>
      </c>
      <c r="M201" t="str">
        <f t="shared" si="3"/>
        <v>Middle Age</v>
      </c>
      <c r="N201" t="s">
        <v>15</v>
      </c>
    </row>
    <row r="202" spans="1:14" x14ac:dyDescent="0.3">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35</v>
      </c>
      <c r="D203" s="2">
        <v>10000</v>
      </c>
      <c r="E203">
        <v>1</v>
      </c>
      <c r="F203" t="s">
        <v>27</v>
      </c>
      <c r="G203" t="s">
        <v>25</v>
      </c>
      <c r="H203" t="s">
        <v>15</v>
      </c>
      <c r="I203">
        <v>0</v>
      </c>
      <c r="J203" t="s">
        <v>22</v>
      </c>
      <c r="K203" t="s">
        <v>24</v>
      </c>
      <c r="L203">
        <v>27</v>
      </c>
      <c r="M203" t="str">
        <f t="shared" si="3"/>
        <v>Juvenile</v>
      </c>
      <c r="N203" t="s">
        <v>15</v>
      </c>
    </row>
    <row r="204" spans="1:14" x14ac:dyDescent="0.3">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34</v>
      </c>
      <c r="D206" s="2">
        <v>90000</v>
      </c>
      <c r="E206">
        <v>3</v>
      </c>
      <c r="F206" t="s">
        <v>27</v>
      </c>
      <c r="G206" t="s">
        <v>21</v>
      </c>
      <c r="H206" t="s">
        <v>18</v>
      </c>
      <c r="I206">
        <v>1</v>
      </c>
      <c r="J206" t="s">
        <v>22</v>
      </c>
      <c r="K206" t="s">
        <v>17</v>
      </c>
      <c r="L206">
        <v>51</v>
      </c>
      <c r="M206" t="str">
        <f t="shared" si="3"/>
        <v>Old</v>
      </c>
      <c r="N206" t="s">
        <v>18</v>
      </c>
    </row>
    <row r="207" spans="1:14" x14ac:dyDescent="0.3">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35</v>
      </c>
      <c r="D208" s="2">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34</v>
      </c>
      <c r="D209" s="2">
        <v>20000</v>
      </c>
      <c r="E209">
        <v>0</v>
      </c>
      <c r="F209" t="s">
        <v>29</v>
      </c>
      <c r="G209" t="s">
        <v>25</v>
      </c>
      <c r="H209" t="s">
        <v>15</v>
      </c>
      <c r="I209">
        <v>2</v>
      </c>
      <c r="J209" t="s">
        <v>26</v>
      </c>
      <c r="K209" t="s">
        <v>17</v>
      </c>
      <c r="L209">
        <v>26</v>
      </c>
      <c r="M209" t="str">
        <f t="shared" si="3"/>
        <v>Juvenile</v>
      </c>
      <c r="N209" t="s">
        <v>15</v>
      </c>
    </row>
    <row r="210" spans="1:14" x14ac:dyDescent="0.3">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34</v>
      </c>
      <c r="D214" s="2">
        <v>30000</v>
      </c>
      <c r="E214">
        <v>0</v>
      </c>
      <c r="F214" t="s">
        <v>19</v>
      </c>
      <c r="G214" t="s">
        <v>20</v>
      </c>
      <c r="H214" t="s">
        <v>18</v>
      </c>
      <c r="I214">
        <v>1</v>
      </c>
      <c r="J214" t="s">
        <v>22</v>
      </c>
      <c r="K214" t="s">
        <v>17</v>
      </c>
      <c r="L214">
        <v>30</v>
      </c>
      <c r="M214" t="str">
        <f t="shared" si="3"/>
        <v>Middle Age</v>
      </c>
      <c r="N214" t="s">
        <v>18</v>
      </c>
    </row>
    <row r="215" spans="1:14" x14ac:dyDescent="0.3">
      <c r="A215">
        <v>11451</v>
      </c>
      <c r="B215" t="s">
        <v>33</v>
      </c>
      <c r="C215" t="s">
        <v>35</v>
      </c>
      <c r="D215" s="2">
        <v>70000</v>
      </c>
      <c r="E215">
        <v>0</v>
      </c>
      <c r="F215" t="s">
        <v>13</v>
      </c>
      <c r="G215" t="s">
        <v>21</v>
      </c>
      <c r="H215" t="s">
        <v>18</v>
      </c>
      <c r="I215">
        <v>4</v>
      </c>
      <c r="J215" t="s">
        <v>42</v>
      </c>
      <c r="K215" t="s">
        <v>24</v>
      </c>
      <c r="L215">
        <v>31</v>
      </c>
      <c r="M215" t="str">
        <f t="shared" si="3"/>
        <v>Middle Age</v>
      </c>
      <c r="N215" t="s">
        <v>15</v>
      </c>
    </row>
    <row r="216" spans="1:14" x14ac:dyDescent="0.3">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2">
        <v>80000</v>
      </c>
      <c r="E217">
        <v>4</v>
      </c>
      <c r="F217" t="s">
        <v>19</v>
      </c>
      <c r="G217" t="s">
        <v>21</v>
      </c>
      <c r="H217" t="s">
        <v>18</v>
      </c>
      <c r="I217">
        <v>2</v>
      </c>
      <c r="J217" t="s">
        <v>22</v>
      </c>
      <c r="K217" t="s">
        <v>17</v>
      </c>
      <c r="L217">
        <v>54</v>
      </c>
      <c r="M217" t="str">
        <f t="shared" si="3"/>
        <v>Old</v>
      </c>
      <c r="N217" t="s">
        <v>15</v>
      </c>
    </row>
    <row r="218" spans="1:14" x14ac:dyDescent="0.3">
      <c r="A218">
        <v>25026</v>
      </c>
      <c r="B218" t="s">
        <v>32</v>
      </c>
      <c r="C218" t="s">
        <v>35</v>
      </c>
      <c r="D218" s="2">
        <v>20000</v>
      </c>
      <c r="E218">
        <v>2</v>
      </c>
      <c r="F218" t="s">
        <v>29</v>
      </c>
      <c r="G218" t="s">
        <v>20</v>
      </c>
      <c r="H218" t="s">
        <v>15</v>
      </c>
      <c r="I218">
        <v>3</v>
      </c>
      <c r="J218" t="s">
        <v>23</v>
      </c>
      <c r="K218" t="s">
        <v>24</v>
      </c>
      <c r="L218">
        <v>54</v>
      </c>
      <c r="M218" t="str">
        <f t="shared" si="3"/>
        <v>Old</v>
      </c>
      <c r="N218" t="s">
        <v>18</v>
      </c>
    </row>
    <row r="219" spans="1:14" x14ac:dyDescent="0.3">
      <c r="A219">
        <v>13673</v>
      </c>
      <c r="B219" t="s">
        <v>33</v>
      </c>
      <c r="C219" t="s">
        <v>34</v>
      </c>
      <c r="D219" s="2">
        <v>20000</v>
      </c>
      <c r="E219">
        <v>0</v>
      </c>
      <c r="F219" t="s">
        <v>29</v>
      </c>
      <c r="G219" t="s">
        <v>25</v>
      </c>
      <c r="H219" t="s">
        <v>18</v>
      </c>
      <c r="I219">
        <v>2</v>
      </c>
      <c r="J219" t="s">
        <v>16</v>
      </c>
      <c r="K219" t="s">
        <v>17</v>
      </c>
      <c r="L219">
        <v>25</v>
      </c>
      <c r="M219" t="str">
        <f t="shared" si="3"/>
        <v>Juvenile</v>
      </c>
      <c r="N219" t="s">
        <v>18</v>
      </c>
    </row>
    <row r="220" spans="1:14" x14ac:dyDescent="0.3">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35</v>
      </c>
      <c r="D221" s="2">
        <v>10000</v>
      </c>
      <c r="E221">
        <v>0</v>
      </c>
      <c r="F221" t="s">
        <v>19</v>
      </c>
      <c r="G221" t="s">
        <v>25</v>
      </c>
      <c r="H221" t="s">
        <v>15</v>
      </c>
      <c r="I221">
        <v>1</v>
      </c>
      <c r="J221" t="s">
        <v>26</v>
      </c>
      <c r="K221" t="s">
        <v>24</v>
      </c>
      <c r="L221">
        <v>26</v>
      </c>
      <c r="M221" t="str">
        <f t="shared" si="3"/>
        <v>Juvenile</v>
      </c>
      <c r="N221" t="s">
        <v>15</v>
      </c>
    </row>
    <row r="222" spans="1:14" x14ac:dyDescent="0.3">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34</v>
      </c>
      <c r="D225" s="2">
        <v>70000</v>
      </c>
      <c r="E225">
        <v>5</v>
      </c>
      <c r="F225" t="s">
        <v>13</v>
      </c>
      <c r="G225" t="s">
        <v>21</v>
      </c>
      <c r="H225" t="s">
        <v>15</v>
      </c>
      <c r="I225">
        <v>4</v>
      </c>
      <c r="J225" t="s">
        <v>42</v>
      </c>
      <c r="K225" t="s">
        <v>24</v>
      </c>
      <c r="L225">
        <v>39</v>
      </c>
      <c r="M225" t="str">
        <f t="shared" si="3"/>
        <v>Middle Age</v>
      </c>
      <c r="N225" t="s">
        <v>18</v>
      </c>
    </row>
    <row r="226" spans="1:14" x14ac:dyDescent="0.3">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35</v>
      </c>
      <c r="D231" s="2">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35</v>
      </c>
      <c r="D232" s="2">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35</v>
      </c>
      <c r="D235" s="2">
        <v>20000</v>
      </c>
      <c r="E235">
        <v>0</v>
      </c>
      <c r="F235" t="s">
        <v>13</v>
      </c>
      <c r="G235" t="s">
        <v>20</v>
      </c>
      <c r="H235" t="s">
        <v>15</v>
      </c>
      <c r="I235">
        <v>0</v>
      </c>
      <c r="J235" t="s">
        <v>16</v>
      </c>
      <c r="K235" t="s">
        <v>24</v>
      </c>
      <c r="L235">
        <v>27</v>
      </c>
      <c r="M235" t="str">
        <f t="shared" si="3"/>
        <v>Juvenile</v>
      </c>
      <c r="N235" t="s">
        <v>15</v>
      </c>
    </row>
    <row r="236" spans="1:14" x14ac:dyDescent="0.3">
      <c r="A236">
        <v>24611</v>
      </c>
      <c r="B236" t="s">
        <v>33</v>
      </c>
      <c r="C236" t="s">
        <v>35</v>
      </c>
      <c r="D236" s="2">
        <v>90000</v>
      </c>
      <c r="E236">
        <v>0</v>
      </c>
      <c r="F236" t="s">
        <v>13</v>
      </c>
      <c r="G236" t="s">
        <v>21</v>
      </c>
      <c r="H236" t="s">
        <v>18</v>
      </c>
      <c r="I236">
        <v>4</v>
      </c>
      <c r="J236" t="s">
        <v>42</v>
      </c>
      <c r="K236" t="s">
        <v>24</v>
      </c>
      <c r="L236">
        <v>35</v>
      </c>
      <c r="M236" t="str">
        <f t="shared" si="3"/>
        <v>Middle Age</v>
      </c>
      <c r="N236" t="s">
        <v>15</v>
      </c>
    </row>
    <row r="237" spans="1:14" x14ac:dyDescent="0.3">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34</v>
      </c>
      <c r="D239" s="2">
        <v>10000</v>
      </c>
      <c r="E239">
        <v>0</v>
      </c>
      <c r="F239" t="s">
        <v>19</v>
      </c>
      <c r="G239" t="s">
        <v>25</v>
      </c>
      <c r="H239" t="s">
        <v>18</v>
      </c>
      <c r="I239">
        <v>1</v>
      </c>
      <c r="J239" t="s">
        <v>16</v>
      </c>
      <c r="K239" t="s">
        <v>24</v>
      </c>
      <c r="L239">
        <v>26</v>
      </c>
      <c r="M239" t="str">
        <f t="shared" si="3"/>
        <v>Juvenile</v>
      </c>
      <c r="N239" t="s">
        <v>15</v>
      </c>
    </row>
    <row r="240" spans="1:14" x14ac:dyDescent="0.3">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34</v>
      </c>
      <c r="D243" s="2">
        <v>30000</v>
      </c>
      <c r="E243">
        <v>3</v>
      </c>
      <c r="F243" t="s">
        <v>19</v>
      </c>
      <c r="G243" t="s">
        <v>20</v>
      </c>
      <c r="H243" t="s">
        <v>15</v>
      </c>
      <c r="I243">
        <v>2</v>
      </c>
      <c r="J243" t="s">
        <v>16</v>
      </c>
      <c r="K243" t="s">
        <v>17</v>
      </c>
      <c r="L243">
        <v>27</v>
      </c>
      <c r="M243" t="str">
        <f t="shared" si="3"/>
        <v>Juvenile</v>
      </c>
      <c r="N243" t="s">
        <v>18</v>
      </c>
    </row>
    <row r="244" spans="1:14" x14ac:dyDescent="0.3">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34</v>
      </c>
      <c r="D245" s="2">
        <v>20000</v>
      </c>
      <c r="E245">
        <v>0</v>
      </c>
      <c r="F245" t="s">
        <v>27</v>
      </c>
      <c r="G245" t="s">
        <v>25</v>
      </c>
      <c r="H245" t="s">
        <v>18</v>
      </c>
      <c r="I245">
        <v>1</v>
      </c>
      <c r="J245" t="s">
        <v>22</v>
      </c>
      <c r="K245" t="s">
        <v>17</v>
      </c>
      <c r="L245">
        <v>29</v>
      </c>
      <c r="M245" t="str">
        <f t="shared" si="3"/>
        <v>Juvenile</v>
      </c>
      <c r="N245" t="s">
        <v>18</v>
      </c>
    </row>
    <row r="246" spans="1:14" x14ac:dyDescent="0.3">
      <c r="A246">
        <v>19057</v>
      </c>
      <c r="B246" t="s">
        <v>32</v>
      </c>
      <c r="C246" t="s">
        <v>34</v>
      </c>
      <c r="D246" s="2">
        <v>120000</v>
      </c>
      <c r="E246">
        <v>3</v>
      </c>
      <c r="F246" t="s">
        <v>13</v>
      </c>
      <c r="G246" t="s">
        <v>28</v>
      </c>
      <c r="H246" t="s">
        <v>18</v>
      </c>
      <c r="I246">
        <v>2</v>
      </c>
      <c r="J246" t="s">
        <v>42</v>
      </c>
      <c r="K246" t="s">
        <v>17</v>
      </c>
      <c r="L246">
        <v>52</v>
      </c>
      <c r="M246" t="str">
        <f t="shared" si="3"/>
        <v>Old</v>
      </c>
      <c r="N246" t="s">
        <v>15</v>
      </c>
    </row>
    <row r="247" spans="1:14" x14ac:dyDescent="0.3">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34</v>
      </c>
      <c r="D248" s="2">
        <v>130000</v>
      </c>
      <c r="E248">
        <v>3</v>
      </c>
      <c r="F248" t="s">
        <v>19</v>
      </c>
      <c r="G248" t="s">
        <v>21</v>
      </c>
      <c r="H248" t="s">
        <v>15</v>
      </c>
      <c r="I248">
        <v>3</v>
      </c>
      <c r="J248" t="s">
        <v>16</v>
      </c>
      <c r="K248" t="s">
        <v>17</v>
      </c>
      <c r="L248">
        <v>51</v>
      </c>
      <c r="M248" t="str">
        <f t="shared" si="3"/>
        <v>Old</v>
      </c>
      <c r="N248" t="s">
        <v>15</v>
      </c>
    </row>
    <row r="249" spans="1:14" x14ac:dyDescent="0.3">
      <c r="A249">
        <v>21568</v>
      </c>
      <c r="B249" t="s">
        <v>32</v>
      </c>
      <c r="C249" t="s">
        <v>34</v>
      </c>
      <c r="D249" s="2">
        <v>100000</v>
      </c>
      <c r="E249">
        <v>0</v>
      </c>
      <c r="F249" t="s">
        <v>27</v>
      </c>
      <c r="G249" t="s">
        <v>28</v>
      </c>
      <c r="H249" t="s">
        <v>15</v>
      </c>
      <c r="I249">
        <v>4</v>
      </c>
      <c r="J249" t="s">
        <v>42</v>
      </c>
      <c r="K249" t="s">
        <v>24</v>
      </c>
      <c r="L249">
        <v>34</v>
      </c>
      <c r="M249" t="str">
        <f t="shared" si="3"/>
        <v>Middle Age</v>
      </c>
      <c r="N249" t="s">
        <v>15</v>
      </c>
    </row>
    <row r="250" spans="1:14" x14ac:dyDescent="0.3">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35</v>
      </c>
      <c r="D255" s="2">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34</v>
      </c>
      <c r="D259" s="2">
        <v>50000</v>
      </c>
      <c r="E259">
        <v>0</v>
      </c>
      <c r="F259" t="s">
        <v>30</v>
      </c>
      <c r="G259" t="s">
        <v>14</v>
      </c>
      <c r="H259" t="s">
        <v>15</v>
      </c>
      <c r="I259">
        <v>0</v>
      </c>
      <c r="J259" t="s">
        <v>16</v>
      </c>
      <c r="K259" t="s">
        <v>17</v>
      </c>
      <c r="L259">
        <v>36</v>
      </c>
      <c r="M259" t="str">
        <f t="shared" ref="M259:M322" si="4">IF(L259&gt;=50,"Old",IF(L259&gt;=30,"Middle Age",IF(L259&lt;30,"Juvenile","Invalid")))</f>
        <v>Middle Age</v>
      </c>
      <c r="N259" t="s">
        <v>15</v>
      </c>
    </row>
    <row r="260" spans="1:14" x14ac:dyDescent="0.3">
      <c r="A260">
        <v>14193</v>
      </c>
      <c r="B260" t="s">
        <v>33</v>
      </c>
      <c r="C260" t="s">
        <v>34</v>
      </c>
      <c r="D260" s="2">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34</v>
      </c>
      <c r="D264" s="2">
        <v>10000</v>
      </c>
      <c r="E264">
        <v>2</v>
      </c>
      <c r="F264" t="s">
        <v>19</v>
      </c>
      <c r="G264" t="s">
        <v>25</v>
      </c>
      <c r="H264" t="s">
        <v>15</v>
      </c>
      <c r="I264">
        <v>0</v>
      </c>
      <c r="J264" t="s">
        <v>26</v>
      </c>
      <c r="K264" t="s">
        <v>17</v>
      </c>
      <c r="L264">
        <v>51</v>
      </c>
      <c r="M264" t="str">
        <f t="shared" si="4"/>
        <v>Old</v>
      </c>
      <c r="N264" t="s">
        <v>18</v>
      </c>
    </row>
    <row r="265" spans="1:14" x14ac:dyDescent="0.3">
      <c r="A265">
        <v>23419</v>
      </c>
      <c r="B265" t="s">
        <v>33</v>
      </c>
      <c r="C265" t="s">
        <v>34</v>
      </c>
      <c r="D265" s="2">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34</v>
      </c>
      <c r="D268" s="2">
        <v>20000</v>
      </c>
      <c r="E268">
        <v>5</v>
      </c>
      <c r="F268" t="s">
        <v>27</v>
      </c>
      <c r="G268" t="s">
        <v>25</v>
      </c>
      <c r="H268" t="s">
        <v>15</v>
      </c>
      <c r="I268">
        <v>2</v>
      </c>
      <c r="J268" t="s">
        <v>16</v>
      </c>
      <c r="K268" t="s">
        <v>17</v>
      </c>
      <c r="L268">
        <v>27</v>
      </c>
      <c r="M268" t="str">
        <f t="shared" si="4"/>
        <v>Juvenile</v>
      </c>
      <c r="N268" t="s">
        <v>18</v>
      </c>
    </row>
    <row r="269" spans="1:14" x14ac:dyDescent="0.3">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34</v>
      </c>
      <c r="D272" s="2">
        <v>10000</v>
      </c>
      <c r="E272">
        <v>2</v>
      </c>
      <c r="F272" t="s">
        <v>19</v>
      </c>
      <c r="G272" t="s">
        <v>25</v>
      </c>
      <c r="H272" t="s">
        <v>15</v>
      </c>
      <c r="I272">
        <v>0</v>
      </c>
      <c r="J272" t="s">
        <v>16</v>
      </c>
      <c r="K272" t="s">
        <v>17</v>
      </c>
      <c r="L272">
        <v>51</v>
      </c>
      <c r="M272" t="str">
        <f t="shared" si="4"/>
        <v>Old</v>
      </c>
      <c r="N272" t="s">
        <v>15</v>
      </c>
    </row>
    <row r="273" spans="1:14" x14ac:dyDescent="0.3">
      <c r="A273">
        <v>25665</v>
      </c>
      <c r="B273" t="s">
        <v>33</v>
      </c>
      <c r="C273" t="s">
        <v>34</v>
      </c>
      <c r="D273" s="2">
        <v>20000</v>
      </c>
      <c r="E273">
        <v>0</v>
      </c>
      <c r="F273" t="s">
        <v>27</v>
      </c>
      <c r="G273" t="s">
        <v>25</v>
      </c>
      <c r="H273" t="s">
        <v>18</v>
      </c>
      <c r="I273">
        <v>1</v>
      </c>
      <c r="J273" t="s">
        <v>26</v>
      </c>
      <c r="K273" t="s">
        <v>17</v>
      </c>
      <c r="L273">
        <v>28</v>
      </c>
      <c r="M273" t="str">
        <f t="shared" si="4"/>
        <v>Juvenile</v>
      </c>
      <c r="N273" t="s">
        <v>18</v>
      </c>
    </row>
    <row r="274" spans="1:14" x14ac:dyDescent="0.3">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34</v>
      </c>
      <c r="D275" s="2">
        <v>20000</v>
      </c>
      <c r="E275">
        <v>0</v>
      </c>
      <c r="F275" t="s">
        <v>27</v>
      </c>
      <c r="G275" t="s">
        <v>25</v>
      </c>
      <c r="H275" t="s">
        <v>18</v>
      </c>
      <c r="I275">
        <v>1</v>
      </c>
      <c r="J275" t="s">
        <v>22</v>
      </c>
      <c r="K275" t="s">
        <v>17</v>
      </c>
      <c r="L275">
        <v>30</v>
      </c>
      <c r="M275" t="str">
        <f t="shared" si="4"/>
        <v>Middle Age</v>
      </c>
      <c r="N275" t="s">
        <v>18</v>
      </c>
    </row>
    <row r="276" spans="1:14" x14ac:dyDescent="0.3">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35</v>
      </c>
      <c r="D280" s="2">
        <v>100000</v>
      </c>
      <c r="E280">
        <v>0</v>
      </c>
      <c r="F280" t="s">
        <v>27</v>
      </c>
      <c r="G280" t="s">
        <v>28</v>
      </c>
      <c r="H280" t="s">
        <v>15</v>
      </c>
      <c r="I280">
        <v>3</v>
      </c>
      <c r="J280" t="s">
        <v>42</v>
      </c>
      <c r="K280" t="s">
        <v>24</v>
      </c>
      <c r="L280">
        <v>35</v>
      </c>
      <c r="M280" t="str">
        <f t="shared" si="4"/>
        <v>Middle Age</v>
      </c>
      <c r="N280" t="s">
        <v>15</v>
      </c>
    </row>
    <row r="281" spans="1:14" x14ac:dyDescent="0.3">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35</v>
      </c>
      <c r="D291" s="2">
        <v>30000</v>
      </c>
      <c r="E291">
        <v>3</v>
      </c>
      <c r="F291" t="s">
        <v>27</v>
      </c>
      <c r="G291" t="s">
        <v>14</v>
      </c>
      <c r="H291" t="s">
        <v>15</v>
      </c>
      <c r="I291">
        <v>2</v>
      </c>
      <c r="J291" t="s">
        <v>23</v>
      </c>
      <c r="K291" t="s">
        <v>24</v>
      </c>
      <c r="L291">
        <v>54</v>
      </c>
      <c r="M291" t="str">
        <f t="shared" si="4"/>
        <v>Old</v>
      </c>
      <c r="N291" t="s">
        <v>15</v>
      </c>
    </row>
    <row r="292" spans="1:14" x14ac:dyDescent="0.3">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34</v>
      </c>
      <c r="D297" s="2">
        <v>110000</v>
      </c>
      <c r="E297">
        <v>0</v>
      </c>
      <c r="F297" t="s">
        <v>19</v>
      </c>
      <c r="G297" t="s">
        <v>28</v>
      </c>
      <c r="H297" t="s">
        <v>15</v>
      </c>
      <c r="I297">
        <v>3</v>
      </c>
      <c r="J297" t="s">
        <v>42</v>
      </c>
      <c r="K297" t="s">
        <v>24</v>
      </c>
      <c r="L297">
        <v>32</v>
      </c>
      <c r="M297" t="str">
        <f t="shared" si="4"/>
        <v>Middle Age</v>
      </c>
      <c r="N297" t="s">
        <v>15</v>
      </c>
    </row>
    <row r="298" spans="1:14" x14ac:dyDescent="0.3">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34</v>
      </c>
      <c r="D300" s="2">
        <v>90000</v>
      </c>
      <c r="E300">
        <v>4</v>
      </c>
      <c r="F300" t="s">
        <v>27</v>
      </c>
      <c r="G300" t="s">
        <v>21</v>
      </c>
      <c r="H300" t="s">
        <v>18</v>
      </c>
      <c r="I300">
        <v>2</v>
      </c>
      <c r="J300" t="s">
        <v>22</v>
      </c>
      <c r="K300" t="s">
        <v>17</v>
      </c>
      <c r="L300">
        <v>54</v>
      </c>
      <c r="M300" t="str">
        <f t="shared" si="4"/>
        <v>Old</v>
      </c>
      <c r="N300" t="s">
        <v>15</v>
      </c>
    </row>
    <row r="301" spans="1:14" x14ac:dyDescent="0.3">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2">
        <v>40000</v>
      </c>
      <c r="E303">
        <v>0</v>
      </c>
      <c r="F303" t="s">
        <v>13</v>
      </c>
      <c r="G303" t="s">
        <v>20</v>
      </c>
      <c r="H303" t="s">
        <v>18</v>
      </c>
      <c r="I303">
        <v>0</v>
      </c>
      <c r="J303" t="s">
        <v>16</v>
      </c>
      <c r="K303" t="s">
        <v>24</v>
      </c>
      <c r="L303">
        <v>28</v>
      </c>
      <c r="M303" t="str">
        <f t="shared" si="4"/>
        <v>Juvenile</v>
      </c>
      <c r="N303" t="s">
        <v>15</v>
      </c>
    </row>
    <row r="304" spans="1:14" x14ac:dyDescent="0.3">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2">
        <v>40000</v>
      </c>
      <c r="E315">
        <v>3</v>
      </c>
      <c r="F315" t="s">
        <v>29</v>
      </c>
      <c r="G315" t="s">
        <v>20</v>
      </c>
      <c r="H315" t="s">
        <v>18</v>
      </c>
      <c r="I315">
        <v>2</v>
      </c>
      <c r="J315" t="s">
        <v>23</v>
      </c>
      <c r="K315" t="s">
        <v>24</v>
      </c>
      <c r="L315">
        <v>52</v>
      </c>
      <c r="M315" t="str">
        <f t="shared" si="4"/>
        <v>Old</v>
      </c>
      <c r="N315" t="s">
        <v>15</v>
      </c>
    </row>
    <row r="316" spans="1:14" x14ac:dyDescent="0.3">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35</v>
      </c>
      <c r="D320" s="2">
        <v>130000</v>
      </c>
      <c r="E320">
        <v>4</v>
      </c>
      <c r="F320" t="s">
        <v>19</v>
      </c>
      <c r="G320" t="s">
        <v>21</v>
      </c>
      <c r="H320" t="s">
        <v>18</v>
      </c>
      <c r="I320">
        <v>3</v>
      </c>
      <c r="J320" t="s">
        <v>42</v>
      </c>
      <c r="K320" t="s">
        <v>17</v>
      </c>
      <c r="L320">
        <v>54</v>
      </c>
      <c r="M320" t="str">
        <f t="shared" si="4"/>
        <v>Old</v>
      </c>
      <c r="N320" t="s">
        <v>18</v>
      </c>
    </row>
    <row r="321" spans="1:14" x14ac:dyDescent="0.3">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34</v>
      </c>
      <c r="D323" s="2">
        <v>160000</v>
      </c>
      <c r="E323">
        <v>0</v>
      </c>
      <c r="F323" t="s">
        <v>30</v>
      </c>
      <c r="G323" t="s">
        <v>28</v>
      </c>
      <c r="H323" t="s">
        <v>18</v>
      </c>
      <c r="I323">
        <v>3</v>
      </c>
      <c r="J323" t="s">
        <v>16</v>
      </c>
      <c r="K323" t="s">
        <v>24</v>
      </c>
      <c r="L323">
        <v>47</v>
      </c>
      <c r="M323" t="str">
        <f t="shared" ref="M323:M386" si="5">IF(L323&gt;=50,"Old",IF(L323&gt;=30,"Middle Age",IF(L323&lt;30,"Juvenile","Invalid")))</f>
        <v>Middle Age</v>
      </c>
      <c r="N323" t="s">
        <v>15</v>
      </c>
    </row>
    <row r="324" spans="1:14" x14ac:dyDescent="0.3">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34</v>
      </c>
      <c r="D328" s="2">
        <v>20000</v>
      </c>
      <c r="E328">
        <v>0</v>
      </c>
      <c r="F328" t="s">
        <v>13</v>
      </c>
      <c r="G328" t="s">
        <v>20</v>
      </c>
      <c r="H328" t="s">
        <v>18</v>
      </c>
      <c r="I328">
        <v>0</v>
      </c>
      <c r="J328" t="s">
        <v>16</v>
      </c>
      <c r="K328" t="s">
        <v>24</v>
      </c>
      <c r="L328">
        <v>26</v>
      </c>
      <c r="M328" t="str">
        <f t="shared" si="5"/>
        <v>Juvenile</v>
      </c>
      <c r="N328" t="s">
        <v>15</v>
      </c>
    </row>
    <row r="329" spans="1:14" x14ac:dyDescent="0.3">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34</v>
      </c>
      <c r="D332" s="2">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35</v>
      </c>
      <c r="D333" s="2">
        <v>10000</v>
      </c>
      <c r="E333">
        <v>0</v>
      </c>
      <c r="F333" t="s">
        <v>29</v>
      </c>
      <c r="G333" t="s">
        <v>25</v>
      </c>
      <c r="H333" t="s">
        <v>18</v>
      </c>
      <c r="I333">
        <v>2</v>
      </c>
      <c r="J333" t="s">
        <v>16</v>
      </c>
      <c r="K333" t="s">
        <v>17</v>
      </c>
      <c r="L333">
        <v>30</v>
      </c>
      <c r="M333" t="str">
        <f t="shared" si="5"/>
        <v>Middle Age</v>
      </c>
      <c r="N333" t="s">
        <v>18</v>
      </c>
    </row>
    <row r="334" spans="1:14" x14ac:dyDescent="0.3">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35</v>
      </c>
      <c r="D335" s="2">
        <v>130000</v>
      </c>
      <c r="E335">
        <v>3</v>
      </c>
      <c r="F335" t="s">
        <v>27</v>
      </c>
      <c r="G335" t="s">
        <v>21</v>
      </c>
      <c r="H335" t="s">
        <v>15</v>
      </c>
      <c r="I335">
        <v>4</v>
      </c>
      <c r="J335" t="s">
        <v>23</v>
      </c>
      <c r="K335" t="s">
        <v>17</v>
      </c>
      <c r="L335">
        <v>51</v>
      </c>
      <c r="M335" t="str">
        <f t="shared" si="5"/>
        <v>Old</v>
      </c>
      <c r="N335" t="s">
        <v>15</v>
      </c>
    </row>
    <row r="336" spans="1:14" x14ac:dyDescent="0.3">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34</v>
      </c>
      <c r="D340" s="2">
        <v>120000</v>
      </c>
      <c r="E340">
        <v>3</v>
      </c>
      <c r="F340" t="s">
        <v>27</v>
      </c>
      <c r="G340" t="s">
        <v>21</v>
      </c>
      <c r="H340" t="s">
        <v>15</v>
      </c>
      <c r="I340">
        <v>4</v>
      </c>
      <c r="J340" t="s">
        <v>23</v>
      </c>
      <c r="K340" t="s">
        <v>17</v>
      </c>
      <c r="L340">
        <v>50</v>
      </c>
      <c r="M340" t="str">
        <f t="shared" si="5"/>
        <v>Old</v>
      </c>
      <c r="N340" t="s">
        <v>15</v>
      </c>
    </row>
    <row r="341" spans="1:14" x14ac:dyDescent="0.3">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2">
        <v>30000</v>
      </c>
      <c r="E342">
        <v>0</v>
      </c>
      <c r="F342" t="s">
        <v>19</v>
      </c>
      <c r="G342" t="s">
        <v>20</v>
      </c>
      <c r="H342" t="s">
        <v>15</v>
      </c>
      <c r="I342">
        <v>1</v>
      </c>
      <c r="J342" t="s">
        <v>22</v>
      </c>
      <c r="K342" t="s">
        <v>17</v>
      </c>
      <c r="L342">
        <v>30</v>
      </c>
      <c r="M342" t="str">
        <f t="shared" si="5"/>
        <v>Middle Age</v>
      </c>
      <c r="N342" t="s">
        <v>18</v>
      </c>
    </row>
    <row r="343" spans="1:14" x14ac:dyDescent="0.3">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34</v>
      </c>
      <c r="D347" s="2">
        <v>20000</v>
      </c>
      <c r="E347">
        <v>1</v>
      </c>
      <c r="F347" t="s">
        <v>13</v>
      </c>
      <c r="G347" t="s">
        <v>20</v>
      </c>
      <c r="H347" t="s">
        <v>15</v>
      </c>
      <c r="I347">
        <v>0</v>
      </c>
      <c r="J347" t="s">
        <v>16</v>
      </c>
      <c r="K347" t="s">
        <v>17</v>
      </c>
      <c r="L347">
        <v>50</v>
      </c>
      <c r="M347" t="str">
        <f t="shared" si="5"/>
        <v>Old</v>
      </c>
      <c r="N347" t="s">
        <v>15</v>
      </c>
    </row>
    <row r="348" spans="1:14" x14ac:dyDescent="0.3">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34</v>
      </c>
      <c r="D351" s="2">
        <v>30000</v>
      </c>
      <c r="E351">
        <v>0</v>
      </c>
      <c r="F351" t="s">
        <v>19</v>
      </c>
      <c r="G351" t="s">
        <v>20</v>
      </c>
      <c r="H351" t="s">
        <v>18</v>
      </c>
      <c r="I351">
        <v>1</v>
      </c>
      <c r="J351" t="s">
        <v>16</v>
      </c>
      <c r="K351" t="s">
        <v>17</v>
      </c>
      <c r="L351">
        <v>29</v>
      </c>
      <c r="M351" t="str">
        <f t="shared" si="5"/>
        <v>Juvenile</v>
      </c>
      <c r="N351" t="s">
        <v>15</v>
      </c>
    </row>
    <row r="352" spans="1:14" x14ac:dyDescent="0.3">
      <c r="A352">
        <v>27878</v>
      </c>
      <c r="B352" t="s">
        <v>33</v>
      </c>
      <c r="C352" t="s">
        <v>35</v>
      </c>
      <c r="D352" s="2">
        <v>20000</v>
      </c>
      <c r="E352">
        <v>0</v>
      </c>
      <c r="F352" t="s">
        <v>19</v>
      </c>
      <c r="G352" t="s">
        <v>25</v>
      </c>
      <c r="H352" t="s">
        <v>18</v>
      </c>
      <c r="I352">
        <v>0</v>
      </c>
      <c r="J352" t="s">
        <v>16</v>
      </c>
      <c r="K352" t="s">
        <v>24</v>
      </c>
      <c r="L352">
        <v>28</v>
      </c>
      <c r="M352" t="str">
        <f t="shared" si="5"/>
        <v>Juvenile</v>
      </c>
      <c r="N352" t="s">
        <v>15</v>
      </c>
    </row>
    <row r="353" spans="1:14" x14ac:dyDescent="0.3">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34</v>
      </c>
      <c r="D354" s="2">
        <v>80000</v>
      </c>
      <c r="E354">
        <v>4</v>
      </c>
      <c r="F354" t="s">
        <v>19</v>
      </c>
      <c r="G354" t="s">
        <v>21</v>
      </c>
      <c r="H354" t="s">
        <v>15</v>
      </c>
      <c r="I354">
        <v>2</v>
      </c>
      <c r="J354" t="s">
        <v>22</v>
      </c>
      <c r="K354" t="s">
        <v>17</v>
      </c>
      <c r="L354">
        <v>53</v>
      </c>
      <c r="M354" t="str">
        <f t="shared" si="5"/>
        <v>Old</v>
      </c>
      <c r="N354" t="s">
        <v>18</v>
      </c>
    </row>
    <row r="355" spans="1:14" x14ac:dyDescent="0.3">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35</v>
      </c>
      <c r="D357" s="2">
        <v>80000</v>
      </c>
      <c r="E357">
        <v>0</v>
      </c>
      <c r="F357" t="s">
        <v>13</v>
      </c>
      <c r="G357" t="s">
        <v>21</v>
      </c>
      <c r="H357" t="s">
        <v>15</v>
      </c>
      <c r="I357">
        <v>3</v>
      </c>
      <c r="J357" t="s">
        <v>42</v>
      </c>
      <c r="K357" t="s">
        <v>24</v>
      </c>
      <c r="L357">
        <v>32</v>
      </c>
      <c r="M357" t="str">
        <f t="shared" si="5"/>
        <v>Middle Age</v>
      </c>
      <c r="N357" t="s">
        <v>18</v>
      </c>
    </row>
    <row r="358" spans="1:14" x14ac:dyDescent="0.3">
      <c r="A358">
        <v>23608</v>
      </c>
      <c r="B358" t="s">
        <v>32</v>
      </c>
      <c r="C358" t="s">
        <v>34</v>
      </c>
      <c r="D358" s="2">
        <v>150000</v>
      </c>
      <c r="E358">
        <v>3</v>
      </c>
      <c r="F358" t="s">
        <v>27</v>
      </c>
      <c r="G358" t="s">
        <v>21</v>
      </c>
      <c r="H358" t="s">
        <v>15</v>
      </c>
      <c r="I358">
        <v>3</v>
      </c>
      <c r="J358" t="s">
        <v>16</v>
      </c>
      <c r="K358" t="s">
        <v>17</v>
      </c>
      <c r="L358">
        <v>51</v>
      </c>
      <c r="M358" t="str">
        <f t="shared" si="5"/>
        <v>Old</v>
      </c>
      <c r="N358" t="s">
        <v>15</v>
      </c>
    </row>
    <row r="359" spans="1:14" x14ac:dyDescent="0.3">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2">
        <v>80000</v>
      </c>
      <c r="E361">
        <v>0</v>
      </c>
      <c r="F361" t="s">
        <v>13</v>
      </c>
      <c r="G361" t="s">
        <v>21</v>
      </c>
      <c r="H361" t="s">
        <v>15</v>
      </c>
      <c r="I361">
        <v>3</v>
      </c>
      <c r="J361" t="s">
        <v>42</v>
      </c>
      <c r="K361" t="s">
        <v>24</v>
      </c>
      <c r="L361">
        <v>30</v>
      </c>
      <c r="M361" t="str">
        <f t="shared" si="5"/>
        <v>Middle Age</v>
      </c>
      <c r="N361" t="s">
        <v>18</v>
      </c>
    </row>
    <row r="362" spans="1:14" x14ac:dyDescent="0.3">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34</v>
      </c>
      <c r="D363" s="2">
        <v>30000</v>
      </c>
      <c r="E363">
        <v>3</v>
      </c>
      <c r="F363" t="s">
        <v>19</v>
      </c>
      <c r="G363" t="s">
        <v>20</v>
      </c>
      <c r="H363" t="s">
        <v>18</v>
      </c>
      <c r="I363">
        <v>2</v>
      </c>
      <c r="J363" t="s">
        <v>16</v>
      </c>
      <c r="K363" t="s">
        <v>17</v>
      </c>
      <c r="L363">
        <v>27</v>
      </c>
      <c r="M363" t="str">
        <f t="shared" si="5"/>
        <v>Juvenile</v>
      </c>
      <c r="N363" t="s">
        <v>15</v>
      </c>
    </row>
    <row r="364" spans="1:14" x14ac:dyDescent="0.3">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34</v>
      </c>
      <c r="D369" s="2">
        <v>130000</v>
      </c>
      <c r="E369">
        <v>3</v>
      </c>
      <c r="F369" t="s">
        <v>19</v>
      </c>
      <c r="G369" t="s">
        <v>21</v>
      </c>
      <c r="H369" t="s">
        <v>15</v>
      </c>
      <c r="I369">
        <v>3</v>
      </c>
      <c r="J369" t="s">
        <v>23</v>
      </c>
      <c r="K369" t="s">
        <v>17</v>
      </c>
      <c r="L369">
        <v>50</v>
      </c>
      <c r="M369" t="str">
        <f t="shared" si="5"/>
        <v>Old</v>
      </c>
      <c r="N369" t="s">
        <v>15</v>
      </c>
    </row>
    <row r="370" spans="1:14" x14ac:dyDescent="0.3">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2">
        <v>20000</v>
      </c>
      <c r="E371">
        <v>2</v>
      </c>
      <c r="F371" t="s">
        <v>19</v>
      </c>
      <c r="G371" t="s">
        <v>25</v>
      </c>
      <c r="H371" t="s">
        <v>18</v>
      </c>
      <c r="I371">
        <v>1</v>
      </c>
      <c r="J371" t="s">
        <v>16</v>
      </c>
      <c r="K371" t="s">
        <v>17</v>
      </c>
      <c r="L371">
        <v>53</v>
      </c>
      <c r="M371" t="str">
        <f t="shared" si="5"/>
        <v>Old</v>
      </c>
      <c r="N371" t="s">
        <v>15</v>
      </c>
    </row>
    <row r="372" spans="1:14" x14ac:dyDescent="0.3">
      <c r="A372">
        <v>17324</v>
      </c>
      <c r="B372" t="s">
        <v>32</v>
      </c>
      <c r="C372" t="s">
        <v>34</v>
      </c>
      <c r="D372" s="2">
        <v>100000</v>
      </c>
      <c r="E372">
        <v>4</v>
      </c>
      <c r="F372" t="s">
        <v>13</v>
      </c>
      <c r="G372" t="s">
        <v>21</v>
      </c>
      <c r="H372" t="s">
        <v>15</v>
      </c>
      <c r="I372">
        <v>1</v>
      </c>
      <c r="J372" t="s">
        <v>42</v>
      </c>
      <c r="K372" t="s">
        <v>24</v>
      </c>
      <c r="L372">
        <v>46</v>
      </c>
      <c r="M372" t="str">
        <f t="shared" si="5"/>
        <v>Middle Age</v>
      </c>
      <c r="N372" t="s">
        <v>18</v>
      </c>
    </row>
    <row r="373" spans="1:14" x14ac:dyDescent="0.3">
      <c r="A373">
        <v>22918</v>
      </c>
      <c r="B373" t="s">
        <v>33</v>
      </c>
      <c r="C373" t="s">
        <v>35</v>
      </c>
      <c r="D373" s="2">
        <v>80000</v>
      </c>
      <c r="E373">
        <v>5</v>
      </c>
      <c r="F373" t="s">
        <v>30</v>
      </c>
      <c r="G373" t="s">
        <v>28</v>
      </c>
      <c r="H373" t="s">
        <v>15</v>
      </c>
      <c r="I373">
        <v>3</v>
      </c>
      <c r="J373" t="s">
        <v>16</v>
      </c>
      <c r="K373" t="s">
        <v>24</v>
      </c>
      <c r="L373">
        <v>50</v>
      </c>
      <c r="M373" t="str">
        <f t="shared" si="5"/>
        <v>Old</v>
      </c>
      <c r="N373" t="s">
        <v>18</v>
      </c>
    </row>
    <row r="374" spans="1:14" x14ac:dyDescent="0.3">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35</v>
      </c>
      <c r="D375" s="2">
        <v>20000</v>
      </c>
      <c r="E375">
        <v>0</v>
      </c>
      <c r="F375" t="s">
        <v>27</v>
      </c>
      <c r="G375" t="s">
        <v>25</v>
      </c>
      <c r="H375" t="s">
        <v>18</v>
      </c>
      <c r="I375">
        <v>1</v>
      </c>
      <c r="J375" t="s">
        <v>22</v>
      </c>
      <c r="K375" t="s">
        <v>17</v>
      </c>
      <c r="L375">
        <v>30</v>
      </c>
      <c r="M375" t="str">
        <f t="shared" si="5"/>
        <v>Middle Age</v>
      </c>
      <c r="N375" t="s">
        <v>18</v>
      </c>
    </row>
    <row r="376" spans="1:14" x14ac:dyDescent="0.3">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2">
        <v>130000</v>
      </c>
      <c r="E379">
        <v>3</v>
      </c>
      <c r="F379" t="s">
        <v>19</v>
      </c>
      <c r="G379" t="s">
        <v>21</v>
      </c>
      <c r="H379" t="s">
        <v>18</v>
      </c>
      <c r="I379">
        <v>3</v>
      </c>
      <c r="J379" t="s">
        <v>23</v>
      </c>
      <c r="K379" t="s">
        <v>17</v>
      </c>
      <c r="L379">
        <v>51</v>
      </c>
      <c r="M379" t="str">
        <f t="shared" si="5"/>
        <v>Old</v>
      </c>
      <c r="N379" t="s">
        <v>15</v>
      </c>
    </row>
    <row r="380" spans="1:14" x14ac:dyDescent="0.3">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35</v>
      </c>
      <c r="D382" s="2">
        <v>70000</v>
      </c>
      <c r="E382">
        <v>0</v>
      </c>
      <c r="F382" t="s">
        <v>13</v>
      </c>
      <c r="G382" t="s">
        <v>21</v>
      </c>
      <c r="H382" t="s">
        <v>18</v>
      </c>
      <c r="I382">
        <v>3</v>
      </c>
      <c r="J382" t="s">
        <v>42</v>
      </c>
      <c r="K382" t="s">
        <v>24</v>
      </c>
      <c r="L382">
        <v>30</v>
      </c>
      <c r="M382" t="str">
        <f t="shared" si="5"/>
        <v>Middle Age</v>
      </c>
      <c r="N382" t="s">
        <v>15</v>
      </c>
    </row>
    <row r="383" spans="1:14" x14ac:dyDescent="0.3">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2">
        <v>80000</v>
      </c>
      <c r="E384">
        <v>4</v>
      </c>
      <c r="F384" t="s">
        <v>19</v>
      </c>
      <c r="G384" t="s">
        <v>21</v>
      </c>
      <c r="H384" t="s">
        <v>15</v>
      </c>
      <c r="I384">
        <v>2</v>
      </c>
      <c r="J384" t="s">
        <v>42</v>
      </c>
      <c r="K384" t="s">
        <v>17</v>
      </c>
      <c r="L384">
        <v>53</v>
      </c>
      <c r="M384" t="str">
        <f t="shared" si="5"/>
        <v>Old</v>
      </c>
      <c r="N384" t="s">
        <v>18</v>
      </c>
    </row>
    <row r="385" spans="1:14" x14ac:dyDescent="0.3">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34</v>
      </c>
      <c r="D386" s="2">
        <v>10000</v>
      </c>
      <c r="E386">
        <v>0</v>
      </c>
      <c r="F386" t="s">
        <v>19</v>
      </c>
      <c r="G386" t="s">
        <v>25</v>
      </c>
      <c r="H386" t="s">
        <v>18</v>
      </c>
      <c r="I386">
        <v>1</v>
      </c>
      <c r="J386" t="s">
        <v>16</v>
      </c>
      <c r="K386" t="s">
        <v>24</v>
      </c>
      <c r="L386">
        <v>28</v>
      </c>
      <c r="M386" t="str">
        <f t="shared" si="5"/>
        <v>Juvenile</v>
      </c>
      <c r="N386" t="s">
        <v>15</v>
      </c>
    </row>
    <row r="387" spans="1:14" x14ac:dyDescent="0.3">
      <c r="A387">
        <v>18018</v>
      </c>
      <c r="B387" t="s">
        <v>33</v>
      </c>
      <c r="C387" t="s">
        <v>35</v>
      </c>
      <c r="D387" s="2">
        <v>30000</v>
      </c>
      <c r="E387">
        <v>3</v>
      </c>
      <c r="F387" t="s">
        <v>19</v>
      </c>
      <c r="G387" t="s">
        <v>20</v>
      </c>
      <c r="H387" t="s">
        <v>15</v>
      </c>
      <c r="I387">
        <v>0</v>
      </c>
      <c r="J387" t="s">
        <v>16</v>
      </c>
      <c r="K387" t="s">
        <v>17</v>
      </c>
      <c r="L387">
        <v>43</v>
      </c>
      <c r="M387" t="str">
        <f t="shared" ref="M387:M450" si="6">IF(L387&gt;=50,"Old",IF(L387&gt;=30,"Middle Age",IF(L387&lt;30,"Juvenile","Invalid")))</f>
        <v>Middle Age</v>
      </c>
      <c r="N387" t="s">
        <v>18</v>
      </c>
    </row>
    <row r="388" spans="1:14" x14ac:dyDescent="0.3">
      <c r="A388">
        <v>28957</v>
      </c>
      <c r="B388" t="s">
        <v>33</v>
      </c>
      <c r="C388" t="s">
        <v>34</v>
      </c>
      <c r="D388" s="2">
        <v>120000</v>
      </c>
      <c r="E388">
        <v>0</v>
      </c>
      <c r="F388" t="s">
        <v>29</v>
      </c>
      <c r="G388" t="s">
        <v>21</v>
      </c>
      <c r="H388" t="s">
        <v>15</v>
      </c>
      <c r="I388">
        <v>4</v>
      </c>
      <c r="J388" t="s">
        <v>42</v>
      </c>
      <c r="K388" t="s">
        <v>24</v>
      </c>
      <c r="L388">
        <v>34</v>
      </c>
      <c r="M388" t="str">
        <f t="shared" si="6"/>
        <v>Middle Age</v>
      </c>
      <c r="N388" t="s">
        <v>15</v>
      </c>
    </row>
    <row r="389" spans="1:14" x14ac:dyDescent="0.3">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35</v>
      </c>
      <c r="D394" s="2">
        <v>20000</v>
      </c>
      <c r="E394">
        <v>1</v>
      </c>
      <c r="F394" t="s">
        <v>13</v>
      </c>
      <c r="G394" t="s">
        <v>20</v>
      </c>
      <c r="H394" t="s">
        <v>18</v>
      </c>
      <c r="I394">
        <v>0</v>
      </c>
      <c r="J394" t="s">
        <v>16</v>
      </c>
      <c r="K394" t="s">
        <v>17</v>
      </c>
      <c r="L394">
        <v>51</v>
      </c>
      <c r="M394" t="str">
        <f t="shared" si="6"/>
        <v>Old</v>
      </c>
      <c r="N394" t="s">
        <v>18</v>
      </c>
    </row>
    <row r="395" spans="1:14" x14ac:dyDescent="0.3">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34</v>
      </c>
      <c r="D401" s="2">
        <v>40000</v>
      </c>
      <c r="E401">
        <v>2</v>
      </c>
      <c r="F401" t="s">
        <v>13</v>
      </c>
      <c r="G401" t="s">
        <v>28</v>
      </c>
      <c r="H401" t="s">
        <v>18</v>
      </c>
      <c r="I401">
        <v>1</v>
      </c>
      <c r="J401" t="s">
        <v>23</v>
      </c>
      <c r="K401" t="s">
        <v>24</v>
      </c>
      <c r="L401">
        <v>53</v>
      </c>
      <c r="M401" t="str">
        <f t="shared" si="6"/>
        <v>Old</v>
      </c>
      <c r="N401" t="s">
        <v>15</v>
      </c>
    </row>
    <row r="402" spans="1:14" x14ac:dyDescent="0.3">
      <c r="A402">
        <v>25792</v>
      </c>
      <c r="B402" t="s">
        <v>33</v>
      </c>
      <c r="C402" t="s">
        <v>34</v>
      </c>
      <c r="D402" s="2">
        <v>110000</v>
      </c>
      <c r="E402">
        <v>3</v>
      </c>
      <c r="F402" t="s">
        <v>13</v>
      </c>
      <c r="G402" t="s">
        <v>28</v>
      </c>
      <c r="H402" t="s">
        <v>15</v>
      </c>
      <c r="I402">
        <v>4</v>
      </c>
      <c r="J402" t="s">
        <v>42</v>
      </c>
      <c r="K402" t="s">
        <v>17</v>
      </c>
      <c r="L402">
        <v>53</v>
      </c>
      <c r="M402" t="str">
        <f t="shared" si="6"/>
        <v>Old</v>
      </c>
      <c r="N402" t="s">
        <v>18</v>
      </c>
    </row>
    <row r="403" spans="1:14" x14ac:dyDescent="0.3">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35</v>
      </c>
      <c r="D406" s="2">
        <v>30000</v>
      </c>
      <c r="E406">
        <v>3</v>
      </c>
      <c r="F406" t="s">
        <v>27</v>
      </c>
      <c r="G406" t="s">
        <v>14</v>
      </c>
      <c r="H406" t="s">
        <v>15</v>
      </c>
      <c r="I406">
        <v>2</v>
      </c>
      <c r="J406" t="s">
        <v>23</v>
      </c>
      <c r="K406" t="s">
        <v>24</v>
      </c>
      <c r="L406">
        <v>54</v>
      </c>
      <c r="M406" t="str">
        <f t="shared" si="6"/>
        <v>Old</v>
      </c>
      <c r="N406" t="s">
        <v>15</v>
      </c>
    </row>
    <row r="407" spans="1:14" x14ac:dyDescent="0.3">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34</v>
      </c>
      <c r="D411" s="2">
        <v>130000</v>
      </c>
      <c r="E411">
        <v>3</v>
      </c>
      <c r="F411" t="s">
        <v>19</v>
      </c>
      <c r="G411" t="s">
        <v>21</v>
      </c>
      <c r="H411" t="s">
        <v>15</v>
      </c>
      <c r="I411">
        <v>4</v>
      </c>
      <c r="J411" t="s">
        <v>16</v>
      </c>
      <c r="K411" t="s">
        <v>17</v>
      </c>
      <c r="L411">
        <v>52</v>
      </c>
      <c r="M411" t="str">
        <f t="shared" si="6"/>
        <v>Old</v>
      </c>
      <c r="N411" t="s">
        <v>18</v>
      </c>
    </row>
    <row r="412" spans="1:14" x14ac:dyDescent="0.3">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35</v>
      </c>
      <c r="D421" s="2">
        <v>10000</v>
      </c>
      <c r="E421">
        <v>2</v>
      </c>
      <c r="F421" t="s">
        <v>19</v>
      </c>
      <c r="G421" t="s">
        <v>25</v>
      </c>
      <c r="H421" t="s">
        <v>15</v>
      </c>
      <c r="I421">
        <v>1</v>
      </c>
      <c r="J421" t="s">
        <v>16</v>
      </c>
      <c r="K421" t="s">
        <v>17</v>
      </c>
      <c r="L421">
        <v>51</v>
      </c>
      <c r="M421" t="str">
        <f t="shared" si="6"/>
        <v>Old</v>
      </c>
      <c r="N421" t="s">
        <v>15</v>
      </c>
    </row>
    <row r="422" spans="1:14" x14ac:dyDescent="0.3">
      <c r="A422">
        <v>18153</v>
      </c>
      <c r="B422" t="s">
        <v>32</v>
      </c>
      <c r="C422" t="s">
        <v>34</v>
      </c>
      <c r="D422" s="2">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35</v>
      </c>
      <c r="D423" s="2">
        <v>10000</v>
      </c>
      <c r="E423">
        <v>2</v>
      </c>
      <c r="F423" t="s">
        <v>19</v>
      </c>
      <c r="G423" t="s">
        <v>25</v>
      </c>
      <c r="H423" t="s">
        <v>15</v>
      </c>
      <c r="I423">
        <v>0</v>
      </c>
      <c r="J423" t="s">
        <v>26</v>
      </c>
      <c r="K423" t="s">
        <v>17</v>
      </c>
      <c r="L423">
        <v>51</v>
      </c>
      <c r="M423" t="str">
        <f t="shared" si="6"/>
        <v>Old</v>
      </c>
      <c r="N423" t="s">
        <v>18</v>
      </c>
    </row>
    <row r="424" spans="1:14" x14ac:dyDescent="0.3">
      <c r="A424">
        <v>24901</v>
      </c>
      <c r="B424" t="s">
        <v>33</v>
      </c>
      <c r="C424" t="s">
        <v>35</v>
      </c>
      <c r="D424" s="2">
        <v>110000</v>
      </c>
      <c r="E424">
        <v>0</v>
      </c>
      <c r="F424" t="s">
        <v>19</v>
      </c>
      <c r="G424" t="s">
        <v>28</v>
      </c>
      <c r="H424" t="s">
        <v>18</v>
      </c>
      <c r="I424">
        <v>3</v>
      </c>
      <c r="J424" t="s">
        <v>42</v>
      </c>
      <c r="K424" t="s">
        <v>24</v>
      </c>
      <c r="L424">
        <v>32</v>
      </c>
      <c r="M424" t="str">
        <f t="shared" si="6"/>
        <v>Middle Age</v>
      </c>
      <c r="N424" t="s">
        <v>15</v>
      </c>
    </row>
    <row r="425" spans="1:14" x14ac:dyDescent="0.3">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2">
        <v>30000</v>
      </c>
      <c r="E428">
        <v>0</v>
      </c>
      <c r="F428" t="s">
        <v>19</v>
      </c>
      <c r="G428" t="s">
        <v>20</v>
      </c>
      <c r="H428" t="s">
        <v>18</v>
      </c>
      <c r="I428">
        <v>1</v>
      </c>
      <c r="J428" t="s">
        <v>22</v>
      </c>
      <c r="K428" t="s">
        <v>17</v>
      </c>
      <c r="L428">
        <v>28</v>
      </c>
      <c r="M428" t="str">
        <f t="shared" si="6"/>
        <v>Juvenile</v>
      </c>
      <c r="N428" t="s">
        <v>18</v>
      </c>
    </row>
    <row r="429" spans="1:14" x14ac:dyDescent="0.3">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34</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35</v>
      </c>
      <c r="D433" s="2">
        <v>20000</v>
      </c>
      <c r="E433">
        <v>0</v>
      </c>
      <c r="F433" t="s">
        <v>19</v>
      </c>
      <c r="G433" t="s">
        <v>25</v>
      </c>
      <c r="H433" t="s">
        <v>15</v>
      </c>
      <c r="I433">
        <v>0</v>
      </c>
      <c r="J433" t="s">
        <v>16</v>
      </c>
      <c r="K433" t="s">
        <v>24</v>
      </c>
      <c r="L433">
        <v>28</v>
      </c>
      <c r="M433" t="str">
        <f t="shared" si="6"/>
        <v>Juvenile</v>
      </c>
      <c r="N433" t="s">
        <v>15</v>
      </c>
    </row>
    <row r="434" spans="1:14" x14ac:dyDescent="0.3">
      <c r="A434">
        <v>21891</v>
      </c>
      <c r="B434" t="s">
        <v>32</v>
      </c>
      <c r="C434" t="s">
        <v>34</v>
      </c>
      <c r="D434" s="2">
        <v>110000</v>
      </c>
      <c r="E434">
        <v>0</v>
      </c>
      <c r="F434" t="s">
        <v>27</v>
      </c>
      <c r="G434" t="s">
        <v>28</v>
      </c>
      <c r="H434" t="s">
        <v>15</v>
      </c>
      <c r="I434">
        <v>3</v>
      </c>
      <c r="J434" t="s">
        <v>42</v>
      </c>
      <c r="K434" t="s">
        <v>24</v>
      </c>
      <c r="L434">
        <v>34</v>
      </c>
      <c r="M434" t="str">
        <f t="shared" si="6"/>
        <v>Middle Age</v>
      </c>
      <c r="N434" t="s">
        <v>15</v>
      </c>
    </row>
    <row r="435" spans="1:14" x14ac:dyDescent="0.3">
      <c r="A435">
        <v>27814</v>
      </c>
      <c r="B435" t="s">
        <v>33</v>
      </c>
      <c r="C435" t="s">
        <v>34</v>
      </c>
      <c r="D435" s="2">
        <v>30000</v>
      </c>
      <c r="E435">
        <v>3</v>
      </c>
      <c r="F435" t="s">
        <v>19</v>
      </c>
      <c r="G435" t="s">
        <v>20</v>
      </c>
      <c r="H435" t="s">
        <v>18</v>
      </c>
      <c r="I435">
        <v>1</v>
      </c>
      <c r="J435" t="s">
        <v>16</v>
      </c>
      <c r="K435" t="s">
        <v>17</v>
      </c>
      <c r="L435">
        <v>26</v>
      </c>
      <c r="M435" t="str">
        <f t="shared" si="6"/>
        <v>Juvenile</v>
      </c>
      <c r="N435" t="s">
        <v>18</v>
      </c>
    </row>
    <row r="436" spans="1:14" x14ac:dyDescent="0.3">
      <c r="A436">
        <v>22175</v>
      </c>
      <c r="B436" t="s">
        <v>32</v>
      </c>
      <c r="C436" t="s">
        <v>34</v>
      </c>
      <c r="D436" s="2">
        <v>30000</v>
      </c>
      <c r="E436">
        <v>3</v>
      </c>
      <c r="F436" t="s">
        <v>27</v>
      </c>
      <c r="G436" t="s">
        <v>14</v>
      </c>
      <c r="H436" t="s">
        <v>15</v>
      </c>
      <c r="I436">
        <v>2</v>
      </c>
      <c r="J436" t="s">
        <v>23</v>
      </c>
      <c r="K436" t="s">
        <v>24</v>
      </c>
      <c r="L436">
        <v>53</v>
      </c>
      <c r="M436" t="str">
        <f t="shared" si="6"/>
        <v>Old</v>
      </c>
      <c r="N436" t="s">
        <v>15</v>
      </c>
    </row>
    <row r="437" spans="1:14" x14ac:dyDescent="0.3">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2">
        <v>80000</v>
      </c>
      <c r="E438">
        <v>2</v>
      </c>
      <c r="F438" t="s">
        <v>27</v>
      </c>
      <c r="G438" t="s">
        <v>14</v>
      </c>
      <c r="H438" t="s">
        <v>15</v>
      </c>
      <c r="I438">
        <v>2</v>
      </c>
      <c r="J438" t="s">
        <v>23</v>
      </c>
      <c r="K438" t="s">
        <v>24</v>
      </c>
      <c r="L438">
        <v>50</v>
      </c>
      <c r="M438" t="str">
        <f t="shared" si="6"/>
        <v>Old</v>
      </c>
      <c r="N438" t="s">
        <v>15</v>
      </c>
    </row>
    <row r="439" spans="1:14" x14ac:dyDescent="0.3">
      <c r="A439">
        <v>27824</v>
      </c>
      <c r="B439" t="s">
        <v>33</v>
      </c>
      <c r="C439" t="s">
        <v>34</v>
      </c>
      <c r="D439" s="2">
        <v>30000</v>
      </c>
      <c r="E439">
        <v>3</v>
      </c>
      <c r="F439" t="s">
        <v>19</v>
      </c>
      <c r="G439" t="s">
        <v>20</v>
      </c>
      <c r="H439" t="s">
        <v>15</v>
      </c>
      <c r="I439">
        <v>2</v>
      </c>
      <c r="J439" t="s">
        <v>16</v>
      </c>
      <c r="K439" t="s">
        <v>17</v>
      </c>
      <c r="L439">
        <v>28</v>
      </c>
      <c r="M439" t="str">
        <f t="shared" si="6"/>
        <v>Juvenile</v>
      </c>
      <c r="N439" t="s">
        <v>15</v>
      </c>
    </row>
    <row r="440" spans="1:14" x14ac:dyDescent="0.3">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35</v>
      </c>
      <c r="D442" s="2">
        <v>90000</v>
      </c>
      <c r="E442">
        <v>0</v>
      </c>
      <c r="F442" t="s">
        <v>13</v>
      </c>
      <c r="G442" t="s">
        <v>21</v>
      </c>
      <c r="H442" t="s">
        <v>18</v>
      </c>
      <c r="I442">
        <v>3</v>
      </c>
      <c r="J442" t="s">
        <v>42</v>
      </c>
      <c r="K442" t="s">
        <v>24</v>
      </c>
      <c r="L442">
        <v>34</v>
      </c>
      <c r="M442" t="str">
        <f t="shared" si="6"/>
        <v>Middle Age</v>
      </c>
      <c r="N442" t="s">
        <v>15</v>
      </c>
    </row>
    <row r="443" spans="1:14" x14ac:dyDescent="0.3">
      <c r="A443">
        <v>11061</v>
      </c>
      <c r="B443" t="s">
        <v>32</v>
      </c>
      <c r="C443" t="s">
        <v>35</v>
      </c>
      <c r="D443" s="2">
        <v>70000</v>
      </c>
      <c r="E443">
        <v>2</v>
      </c>
      <c r="F443" t="s">
        <v>19</v>
      </c>
      <c r="G443" t="s">
        <v>14</v>
      </c>
      <c r="H443" t="s">
        <v>15</v>
      </c>
      <c r="I443">
        <v>2</v>
      </c>
      <c r="J443" t="s">
        <v>23</v>
      </c>
      <c r="K443" t="s">
        <v>24</v>
      </c>
      <c r="L443">
        <v>52</v>
      </c>
      <c r="M443" t="str">
        <f t="shared" si="6"/>
        <v>Old</v>
      </c>
      <c r="N443" t="s">
        <v>15</v>
      </c>
    </row>
    <row r="444" spans="1:14" x14ac:dyDescent="0.3">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34</v>
      </c>
      <c r="D448" s="2">
        <v>130000</v>
      </c>
      <c r="E448">
        <v>0</v>
      </c>
      <c r="F448" t="s">
        <v>30</v>
      </c>
      <c r="G448" t="s">
        <v>28</v>
      </c>
      <c r="H448" t="s">
        <v>15</v>
      </c>
      <c r="I448">
        <v>1</v>
      </c>
      <c r="J448" t="s">
        <v>42</v>
      </c>
      <c r="K448" t="s">
        <v>24</v>
      </c>
      <c r="L448">
        <v>48</v>
      </c>
      <c r="M448" t="str">
        <f t="shared" si="6"/>
        <v>Middle Age</v>
      </c>
      <c r="N448" t="s">
        <v>18</v>
      </c>
    </row>
    <row r="449" spans="1:14" x14ac:dyDescent="0.3">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34</v>
      </c>
      <c r="D451" s="2">
        <v>40000</v>
      </c>
      <c r="E451">
        <v>1</v>
      </c>
      <c r="F451" t="s">
        <v>13</v>
      </c>
      <c r="G451" t="s">
        <v>14</v>
      </c>
      <c r="H451" t="s">
        <v>15</v>
      </c>
      <c r="I451">
        <v>0</v>
      </c>
      <c r="J451" t="s">
        <v>16</v>
      </c>
      <c r="K451" t="s">
        <v>17</v>
      </c>
      <c r="L451">
        <v>42</v>
      </c>
      <c r="M451" t="str">
        <f t="shared" ref="M451:M514" si="7">IF(L451&gt;=50,"Old",IF(L451&gt;=30,"Middle Age",IF(L451&lt;30,"Juvenile","Invalid")))</f>
        <v>Middle Age</v>
      </c>
      <c r="N451" t="s">
        <v>18</v>
      </c>
    </row>
    <row r="452" spans="1:14" x14ac:dyDescent="0.3">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34</v>
      </c>
      <c r="D457" s="2">
        <v>80000</v>
      </c>
      <c r="E457">
        <v>4</v>
      </c>
      <c r="F457" t="s">
        <v>19</v>
      </c>
      <c r="G457" t="s">
        <v>21</v>
      </c>
      <c r="H457" t="s">
        <v>18</v>
      </c>
      <c r="I457">
        <v>1</v>
      </c>
      <c r="J457" t="s">
        <v>22</v>
      </c>
      <c r="K457" t="s">
        <v>17</v>
      </c>
      <c r="L457">
        <v>53</v>
      </c>
      <c r="M457" t="str">
        <f t="shared" si="7"/>
        <v>Old</v>
      </c>
      <c r="N457" t="s">
        <v>15</v>
      </c>
    </row>
    <row r="458" spans="1:14" x14ac:dyDescent="0.3">
      <c r="A458">
        <v>26385</v>
      </c>
      <c r="B458" t="s">
        <v>33</v>
      </c>
      <c r="C458" t="s">
        <v>35</v>
      </c>
      <c r="D458" s="2">
        <v>120000</v>
      </c>
      <c r="E458">
        <v>3</v>
      </c>
      <c r="F458" t="s">
        <v>27</v>
      </c>
      <c r="G458" t="s">
        <v>21</v>
      </c>
      <c r="H458" t="s">
        <v>18</v>
      </c>
      <c r="I458">
        <v>4</v>
      </c>
      <c r="J458" t="s">
        <v>23</v>
      </c>
      <c r="K458" t="s">
        <v>17</v>
      </c>
      <c r="L458">
        <v>50</v>
      </c>
      <c r="M458" t="str">
        <f t="shared" si="7"/>
        <v>Old</v>
      </c>
      <c r="N458" t="s">
        <v>18</v>
      </c>
    </row>
    <row r="459" spans="1:14" x14ac:dyDescent="0.3">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2">
        <v>120000</v>
      </c>
      <c r="E460">
        <v>0</v>
      </c>
      <c r="F460" t="s">
        <v>29</v>
      </c>
      <c r="G460" t="s">
        <v>21</v>
      </c>
      <c r="H460" t="s">
        <v>15</v>
      </c>
      <c r="I460">
        <v>4</v>
      </c>
      <c r="J460" t="s">
        <v>42</v>
      </c>
      <c r="K460" t="s">
        <v>24</v>
      </c>
      <c r="L460">
        <v>32</v>
      </c>
      <c r="M460" t="str">
        <f t="shared" si="7"/>
        <v>Middle Age</v>
      </c>
      <c r="N460" t="s">
        <v>15</v>
      </c>
    </row>
    <row r="461" spans="1:14" x14ac:dyDescent="0.3">
      <c r="A461">
        <v>21554</v>
      </c>
      <c r="B461" t="s">
        <v>33</v>
      </c>
      <c r="C461" t="s">
        <v>34</v>
      </c>
      <c r="D461" s="2">
        <v>80000</v>
      </c>
      <c r="E461">
        <v>0</v>
      </c>
      <c r="F461" t="s">
        <v>13</v>
      </c>
      <c r="G461" t="s">
        <v>21</v>
      </c>
      <c r="H461" t="s">
        <v>18</v>
      </c>
      <c r="I461">
        <v>3</v>
      </c>
      <c r="J461" t="s">
        <v>42</v>
      </c>
      <c r="K461" t="s">
        <v>24</v>
      </c>
      <c r="L461">
        <v>33</v>
      </c>
      <c r="M461" t="str">
        <f t="shared" si="7"/>
        <v>Middle Age</v>
      </c>
      <c r="N461" t="s">
        <v>18</v>
      </c>
    </row>
    <row r="462" spans="1:14" x14ac:dyDescent="0.3">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2">
        <v>30000</v>
      </c>
      <c r="E472">
        <v>0</v>
      </c>
      <c r="F472" t="s">
        <v>27</v>
      </c>
      <c r="G472" t="s">
        <v>25</v>
      </c>
      <c r="H472" t="s">
        <v>18</v>
      </c>
      <c r="I472">
        <v>1</v>
      </c>
      <c r="J472" t="s">
        <v>26</v>
      </c>
      <c r="K472" t="s">
        <v>17</v>
      </c>
      <c r="L472">
        <v>28</v>
      </c>
      <c r="M472" t="str">
        <f t="shared" si="7"/>
        <v>Juvenile</v>
      </c>
      <c r="N472" t="s">
        <v>18</v>
      </c>
    </row>
    <row r="473" spans="1:14" x14ac:dyDescent="0.3">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35</v>
      </c>
      <c r="D479" s="2">
        <v>70000</v>
      </c>
      <c r="E479">
        <v>2</v>
      </c>
      <c r="F479" t="s">
        <v>27</v>
      </c>
      <c r="G479" t="s">
        <v>14</v>
      </c>
      <c r="H479" t="s">
        <v>18</v>
      </c>
      <c r="I479">
        <v>2</v>
      </c>
      <c r="J479" t="s">
        <v>26</v>
      </c>
      <c r="K479" t="s">
        <v>24</v>
      </c>
      <c r="L479">
        <v>50</v>
      </c>
      <c r="M479" t="str">
        <f t="shared" si="7"/>
        <v>Old</v>
      </c>
      <c r="N479" t="s">
        <v>15</v>
      </c>
    </row>
    <row r="480" spans="1:14" x14ac:dyDescent="0.3">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34</v>
      </c>
      <c r="D488" s="2">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35</v>
      </c>
      <c r="D495" s="2">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35</v>
      </c>
      <c r="D496" s="2">
        <v>70000</v>
      </c>
      <c r="E496">
        <v>4</v>
      </c>
      <c r="F496" t="s">
        <v>27</v>
      </c>
      <c r="G496" t="s">
        <v>21</v>
      </c>
      <c r="H496" t="s">
        <v>15</v>
      </c>
      <c r="I496">
        <v>0</v>
      </c>
      <c r="J496" t="s">
        <v>23</v>
      </c>
      <c r="K496" t="s">
        <v>31</v>
      </c>
      <c r="L496">
        <v>51</v>
      </c>
      <c r="M496" t="str">
        <f t="shared" si="7"/>
        <v>Old</v>
      </c>
      <c r="N496" t="s">
        <v>18</v>
      </c>
    </row>
    <row r="497" spans="1:14" x14ac:dyDescent="0.3">
      <c r="A497">
        <v>24981</v>
      </c>
      <c r="B497" t="s">
        <v>32</v>
      </c>
      <c r="C497" t="s">
        <v>35</v>
      </c>
      <c r="D497" s="2">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35</v>
      </c>
      <c r="D504" s="2">
        <v>40000</v>
      </c>
      <c r="E504">
        <v>0</v>
      </c>
      <c r="F504" t="s">
        <v>19</v>
      </c>
      <c r="G504" t="s">
        <v>14</v>
      </c>
      <c r="H504" t="s">
        <v>15</v>
      </c>
      <c r="I504">
        <v>1</v>
      </c>
      <c r="J504" t="s">
        <v>23</v>
      </c>
      <c r="K504" t="s">
        <v>31</v>
      </c>
      <c r="L504">
        <v>29</v>
      </c>
      <c r="M504" t="str">
        <f t="shared" si="7"/>
        <v>Juvenile</v>
      </c>
      <c r="N504" t="s">
        <v>18</v>
      </c>
    </row>
    <row r="505" spans="1:14" x14ac:dyDescent="0.3">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34</v>
      </c>
      <c r="D509" s="2">
        <v>40000</v>
      </c>
      <c r="E509">
        <v>1</v>
      </c>
      <c r="F509" t="s">
        <v>19</v>
      </c>
      <c r="G509" t="s">
        <v>20</v>
      </c>
      <c r="H509" t="s">
        <v>15</v>
      </c>
      <c r="I509">
        <v>1</v>
      </c>
      <c r="J509" t="s">
        <v>26</v>
      </c>
      <c r="K509" t="s">
        <v>31</v>
      </c>
      <c r="L509">
        <v>51</v>
      </c>
      <c r="M509" t="str">
        <f t="shared" si="7"/>
        <v>Old</v>
      </c>
      <c r="N509" t="s">
        <v>15</v>
      </c>
    </row>
    <row r="510" spans="1:14" x14ac:dyDescent="0.3">
      <c r="A510">
        <v>16337</v>
      </c>
      <c r="B510" t="s">
        <v>32</v>
      </c>
      <c r="C510" t="s">
        <v>35</v>
      </c>
      <c r="D510" s="2">
        <v>60000</v>
      </c>
      <c r="E510">
        <v>0</v>
      </c>
      <c r="F510" t="s">
        <v>19</v>
      </c>
      <c r="G510" t="s">
        <v>14</v>
      </c>
      <c r="H510" t="s">
        <v>18</v>
      </c>
      <c r="I510">
        <v>2</v>
      </c>
      <c r="J510" t="s">
        <v>26</v>
      </c>
      <c r="K510" t="s">
        <v>31</v>
      </c>
      <c r="L510">
        <v>29</v>
      </c>
      <c r="M510" t="str">
        <f t="shared" si="7"/>
        <v>Juvenile</v>
      </c>
      <c r="N510" t="s">
        <v>18</v>
      </c>
    </row>
    <row r="511" spans="1:14" x14ac:dyDescent="0.3">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34</v>
      </c>
      <c r="D515" s="2">
        <v>60000</v>
      </c>
      <c r="E515">
        <v>4</v>
      </c>
      <c r="F515" t="s">
        <v>30</v>
      </c>
      <c r="G515" t="s">
        <v>28</v>
      </c>
      <c r="H515" t="s">
        <v>15</v>
      </c>
      <c r="I515">
        <v>2</v>
      </c>
      <c r="J515" t="s">
        <v>42</v>
      </c>
      <c r="K515" t="s">
        <v>31</v>
      </c>
      <c r="L515">
        <v>61</v>
      </c>
      <c r="M515" t="str">
        <f t="shared" ref="M515:M578" si="8">IF(L515&gt;=50,"Old",IF(L515&gt;=30,"Middle Age",IF(L515&lt;30,"Juvenile","Invalid")))</f>
        <v>Old</v>
      </c>
      <c r="N515" t="s">
        <v>15</v>
      </c>
    </row>
    <row r="516" spans="1:14" x14ac:dyDescent="0.3">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35</v>
      </c>
      <c r="D523" s="2">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2">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34</v>
      </c>
      <c r="D530" s="2">
        <v>30000</v>
      </c>
      <c r="E530">
        <v>0</v>
      </c>
      <c r="F530" t="s">
        <v>19</v>
      </c>
      <c r="G530" t="s">
        <v>14</v>
      </c>
      <c r="H530" t="s">
        <v>15</v>
      </c>
      <c r="I530">
        <v>1</v>
      </c>
      <c r="J530" t="s">
        <v>23</v>
      </c>
      <c r="K530" t="s">
        <v>31</v>
      </c>
      <c r="L530">
        <v>28</v>
      </c>
      <c r="M530" t="str">
        <f t="shared" si="8"/>
        <v>Juvenile</v>
      </c>
      <c r="N530" t="s">
        <v>18</v>
      </c>
    </row>
    <row r="531" spans="1:14" x14ac:dyDescent="0.3">
      <c r="A531">
        <v>13233</v>
      </c>
      <c r="B531" t="s">
        <v>32</v>
      </c>
      <c r="C531" t="s">
        <v>35</v>
      </c>
      <c r="D531" s="2">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35</v>
      </c>
      <c r="D532" s="2">
        <v>60000</v>
      </c>
      <c r="E532">
        <v>0</v>
      </c>
      <c r="F532" t="s">
        <v>19</v>
      </c>
      <c r="G532" t="s">
        <v>14</v>
      </c>
      <c r="H532" t="s">
        <v>15</v>
      </c>
      <c r="I532">
        <v>1</v>
      </c>
      <c r="J532" t="s">
        <v>23</v>
      </c>
      <c r="K532" t="s">
        <v>31</v>
      </c>
      <c r="L532">
        <v>27</v>
      </c>
      <c r="M532" t="str">
        <f t="shared" si="8"/>
        <v>Juvenile</v>
      </c>
      <c r="N532" t="s">
        <v>15</v>
      </c>
    </row>
    <row r="533" spans="1:14" x14ac:dyDescent="0.3">
      <c r="A533">
        <v>14092</v>
      </c>
      <c r="B533" t="s">
        <v>33</v>
      </c>
      <c r="C533" t="s">
        <v>35</v>
      </c>
      <c r="D533" s="2">
        <v>30000</v>
      </c>
      <c r="E533">
        <v>0</v>
      </c>
      <c r="F533" t="s">
        <v>29</v>
      </c>
      <c r="G533" t="s">
        <v>20</v>
      </c>
      <c r="H533" t="s">
        <v>15</v>
      </c>
      <c r="I533">
        <v>2</v>
      </c>
      <c r="J533" t="s">
        <v>23</v>
      </c>
      <c r="K533" t="s">
        <v>31</v>
      </c>
      <c r="L533">
        <v>28</v>
      </c>
      <c r="M533" t="str">
        <f t="shared" si="8"/>
        <v>Juvenile</v>
      </c>
      <c r="N533" t="s">
        <v>18</v>
      </c>
    </row>
    <row r="534" spans="1:14" x14ac:dyDescent="0.3">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35</v>
      </c>
      <c r="D535" s="2">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35</v>
      </c>
      <c r="D536" s="2">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35</v>
      </c>
      <c r="D537" s="2">
        <v>50000</v>
      </c>
      <c r="E537">
        <v>3</v>
      </c>
      <c r="F537" t="s">
        <v>13</v>
      </c>
      <c r="G537" t="s">
        <v>14</v>
      </c>
      <c r="H537" t="s">
        <v>15</v>
      </c>
      <c r="I537">
        <v>3</v>
      </c>
      <c r="J537" t="s">
        <v>42</v>
      </c>
      <c r="K537" t="s">
        <v>31</v>
      </c>
      <c r="L537">
        <v>41</v>
      </c>
      <c r="M537" t="str">
        <f t="shared" si="8"/>
        <v>Middle Age</v>
      </c>
      <c r="N537" t="s">
        <v>18</v>
      </c>
    </row>
    <row r="538" spans="1:14" x14ac:dyDescent="0.3">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34</v>
      </c>
      <c r="D542" s="2">
        <v>70000</v>
      </c>
      <c r="E542">
        <v>3</v>
      </c>
      <c r="F542" t="s">
        <v>30</v>
      </c>
      <c r="G542" t="s">
        <v>28</v>
      </c>
      <c r="H542" t="s">
        <v>15</v>
      </c>
      <c r="I542">
        <v>2</v>
      </c>
      <c r="J542" t="s">
        <v>26</v>
      </c>
      <c r="K542" t="s">
        <v>31</v>
      </c>
      <c r="L542">
        <v>52</v>
      </c>
      <c r="M542" t="str">
        <f t="shared" si="8"/>
        <v>Old</v>
      </c>
      <c r="N542" t="s">
        <v>18</v>
      </c>
    </row>
    <row r="543" spans="1:14" x14ac:dyDescent="0.3">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35</v>
      </c>
      <c r="D544" s="2">
        <v>40000</v>
      </c>
      <c r="E544">
        <v>0</v>
      </c>
      <c r="F544" t="s">
        <v>27</v>
      </c>
      <c r="G544" t="s">
        <v>14</v>
      </c>
      <c r="H544" t="s">
        <v>15</v>
      </c>
      <c r="I544">
        <v>2</v>
      </c>
      <c r="J544" t="s">
        <v>23</v>
      </c>
      <c r="K544" t="s">
        <v>31</v>
      </c>
      <c r="L544">
        <v>29</v>
      </c>
      <c r="M544" t="str">
        <f t="shared" si="8"/>
        <v>Juvenile</v>
      </c>
      <c r="N544" t="s">
        <v>18</v>
      </c>
    </row>
    <row r="545" spans="1:14" x14ac:dyDescent="0.3">
      <c r="A545">
        <v>25898</v>
      </c>
      <c r="B545" t="s">
        <v>32</v>
      </c>
      <c r="C545" t="s">
        <v>34</v>
      </c>
      <c r="D545" s="2">
        <v>70000</v>
      </c>
      <c r="E545">
        <v>2</v>
      </c>
      <c r="F545" t="s">
        <v>27</v>
      </c>
      <c r="G545" t="s">
        <v>21</v>
      </c>
      <c r="H545" t="s">
        <v>15</v>
      </c>
      <c r="I545">
        <v>2</v>
      </c>
      <c r="J545" t="s">
        <v>22</v>
      </c>
      <c r="K545" t="s">
        <v>31</v>
      </c>
      <c r="L545">
        <v>53</v>
      </c>
      <c r="M545" t="str">
        <f t="shared" si="8"/>
        <v>Old</v>
      </c>
      <c r="N545" t="s">
        <v>18</v>
      </c>
    </row>
    <row r="546" spans="1:14" x14ac:dyDescent="0.3">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35</v>
      </c>
      <c r="D547" s="2">
        <v>60000</v>
      </c>
      <c r="E547">
        <v>0</v>
      </c>
      <c r="F547" t="s">
        <v>19</v>
      </c>
      <c r="G547" t="s">
        <v>14</v>
      </c>
      <c r="H547" t="s">
        <v>18</v>
      </c>
      <c r="I547">
        <v>2</v>
      </c>
      <c r="J547" t="s">
        <v>26</v>
      </c>
      <c r="K547" t="s">
        <v>31</v>
      </c>
      <c r="L547">
        <v>29</v>
      </c>
      <c r="M547" t="str">
        <f t="shared" si="8"/>
        <v>Juvenile</v>
      </c>
      <c r="N547" t="s">
        <v>18</v>
      </c>
    </row>
    <row r="548" spans="1:14" x14ac:dyDescent="0.3">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35</v>
      </c>
      <c r="D549" s="2">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34</v>
      </c>
      <c r="D553" s="2">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35</v>
      </c>
      <c r="D554" s="2">
        <v>60000</v>
      </c>
      <c r="E554">
        <v>3</v>
      </c>
      <c r="F554" t="s">
        <v>27</v>
      </c>
      <c r="G554" t="s">
        <v>21</v>
      </c>
      <c r="H554" t="s">
        <v>15</v>
      </c>
      <c r="I554">
        <v>2</v>
      </c>
      <c r="J554" t="s">
        <v>42</v>
      </c>
      <c r="K554" t="s">
        <v>31</v>
      </c>
      <c r="L554">
        <v>54</v>
      </c>
      <c r="M554" t="str">
        <f t="shared" si="8"/>
        <v>Old</v>
      </c>
      <c r="N554" t="s">
        <v>15</v>
      </c>
    </row>
    <row r="555" spans="1:14" x14ac:dyDescent="0.3">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34</v>
      </c>
      <c r="D561" s="2">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34</v>
      </c>
      <c r="D565" s="2">
        <v>30000</v>
      </c>
      <c r="E565">
        <v>0</v>
      </c>
      <c r="F565" t="s">
        <v>19</v>
      </c>
      <c r="G565" t="s">
        <v>14</v>
      </c>
      <c r="H565" t="s">
        <v>15</v>
      </c>
      <c r="I565">
        <v>1</v>
      </c>
      <c r="J565" t="s">
        <v>23</v>
      </c>
      <c r="K565" t="s">
        <v>31</v>
      </c>
      <c r="L565">
        <v>28</v>
      </c>
      <c r="M565" t="str">
        <f t="shared" si="8"/>
        <v>Juvenile</v>
      </c>
      <c r="N565" t="s">
        <v>18</v>
      </c>
    </row>
    <row r="566" spans="1:14" x14ac:dyDescent="0.3">
      <c r="A566">
        <v>17369</v>
      </c>
      <c r="B566" t="s">
        <v>33</v>
      </c>
      <c r="C566" t="s">
        <v>35</v>
      </c>
      <c r="D566" s="2">
        <v>30000</v>
      </c>
      <c r="E566">
        <v>0</v>
      </c>
      <c r="F566" t="s">
        <v>19</v>
      </c>
      <c r="G566" t="s">
        <v>14</v>
      </c>
      <c r="H566" t="s">
        <v>15</v>
      </c>
      <c r="I566">
        <v>1</v>
      </c>
      <c r="J566" t="s">
        <v>23</v>
      </c>
      <c r="K566" t="s">
        <v>31</v>
      </c>
      <c r="L566">
        <v>27</v>
      </c>
      <c r="M566" t="str">
        <f t="shared" si="8"/>
        <v>Juvenile</v>
      </c>
      <c r="N566" t="s">
        <v>18</v>
      </c>
    </row>
    <row r="567" spans="1:14" x14ac:dyDescent="0.3">
      <c r="A567">
        <v>14495</v>
      </c>
      <c r="B567" t="s">
        <v>32</v>
      </c>
      <c r="C567" t="s">
        <v>35</v>
      </c>
      <c r="D567" s="2">
        <v>40000</v>
      </c>
      <c r="E567">
        <v>3</v>
      </c>
      <c r="F567" t="s">
        <v>19</v>
      </c>
      <c r="G567" t="s">
        <v>21</v>
      </c>
      <c r="H567" t="s">
        <v>18</v>
      </c>
      <c r="I567">
        <v>2</v>
      </c>
      <c r="J567" t="s">
        <v>23</v>
      </c>
      <c r="K567" t="s">
        <v>31</v>
      </c>
      <c r="L567">
        <v>54</v>
      </c>
      <c r="M567" t="str">
        <f t="shared" si="8"/>
        <v>Old</v>
      </c>
      <c r="N567" t="s">
        <v>15</v>
      </c>
    </row>
    <row r="568" spans="1:14" x14ac:dyDescent="0.3">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35</v>
      </c>
      <c r="D571" s="2">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35</v>
      </c>
      <c r="D572" s="2">
        <v>70000</v>
      </c>
      <c r="E572">
        <v>3</v>
      </c>
      <c r="F572" t="s">
        <v>29</v>
      </c>
      <c r="G572" t="s">
        <v>14</v>
      </c>
      <c r="H572" t="s">
        <v>15</v>
      </c>
      <c r="I572">
        <v>2</v>
      </c>
      <c r="J572" t="s">
        <v>23</v>
      </c>
      <c r="K572" t="s">
        <v>31</v>
      </c>
      <c r="L572">
        <v>52</v>
      </c>
      <c r="M572" t="str">
        <f t="shared" si="8"/>
        <v>Old</v>
      </c>
      <c r="N572" t="s">
        <v>18</v>
      </c>
    </row>
    <row r="573" spans="1:14" x14ac:dyDescent="0.3">
      <c r="A573">
        <v>20528</v>
      </c>
      <c r="B573" t="s">
        <v>32</v>
      </c>
      <c r="C573" t="s">
        <v>35</v>
      </c>
      <c r="D573" s="2">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35</v>
      </c>
      <c r="D574" s="2">
        <v>30000</v>
      </c>
      <c r="E574">
        <v>0</v>
      </c>
      <c r="F574" t="s">
        <v>27</v>
      </c>
      <c r="G574" t="s">
        <v>14</v>
      </c>
      <c r="H574" t="s">
        <v>15</v>
      </c>
      <c r="I574">
        <v>2</v>
      </c>
      <c r="J574" t="s">
        <v>23</v>
      </c>
      <c r="K574" t="s">
        <v>31</v>
      </c>
      <c r="L574">
        <v>30</v>
      </c>
      <c r="M574" t="str">
        <f t="shared" si="8"/>
        <v>Middle Age</v>
      </c>
      <c r="N574" t="s">
        <v>18</v>
      </c>
    </row>
    <row r="575" spans="1:14" x14ac:dyDescent="0.3">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35</v>
      </c>
      <c r="D577" s="2">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35</v>
      </c>
      <c r="D579" s="2">
        <v>120000</v>
      </c>
      <c r="E579">
        <v>1</v>
      </c>
      <c r="F579" t="s">
        <v>13</v>
      </c>
      <c r="G579" t="s">
        <v>28</v>
      </c>
      <c r="H579" t="s">
        <v>15</v>
      </c>
      <c r="I579">
        <v>4</v>
      </c>
      <c r="J579" t="s">
        <v>16</v>
      </c>
      <c r="K579" t="s">
        <v>31</v>
      </c>
      <c r="L579">
        <v>38</v>
      </c>
      <c r="M579" t="str">
        <f t="shared" ref="M579:M642" si="9">IF(L579&gt;=50,"Old",IF(L579&gt;=30,"Middle Age",IF(L579&lt;30,"Juvenile","Invalid")))</f>
        <v>Middle Age</v>
      </c>
      <c r="N579" t="s">
        <v>18</v>
      </c>
    </row>
    <row r="580" spans="1:14" x14ac:dyDescent="0.3">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35</v>
      </c>
      <c r="D583" s="2">
        <v>40000</v>
      </c>
      <c r="E583">
        <v>0</v>
      </c>
      <c r="F583" t="s">
        <v>19</v>
      </c>
      <c r="G583" t="s">
        <v>14</v>
      </c>
      <c r="H583" t="s">
        <v>15</v>
      </c>
      <c r="I583">
        <v>1</v>
      </c>
      <c r="J583" t="s">
        <v>23</v>
      </c>
      <c r="K583" t="s">
        <v>31</v>
      </c>
      <c r="L583">
        <v>28</v>
      </c>
      <c r="M583" t="str">
        <f t="shared" si="9"/>
        <v>Juvenile</v>
      </c>
      <c r="N583" t="s">
        <v>18</v>
      </c>
    </row>
    <row r="584" spans="1:14" x14ac:dyDescent="0.3">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35</v>
      </c>
      <c r="D585" s="2">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35</v>
      </c>
      <c r="D588" s="2">
        <v>60000</v>
      </c>
      <c r="E588">
        <v>2</v>
      </c>
      <c r="F588" t="s">
        <v>27</v>
      </c>
      <c r="G588" t="s">
        <v>21</v>
      </c>
      <c r="H588" t="s">
        <v>18</v>
      </c>
      <c r="I588">
        <v>2</v>
      </c>
      <c r="J588" t="s">
        <v>26</v>
      </c>
      <c r="K588" t="s">
        <v>31</v>
      </c>
      <c r="L588">
        <v>51</v>
      </c>
      <c r="M588" t="str">
        <f t="shared" si="9"/>
        <v>Old</v>
      </c>
      <c r="N588" t="s">
        <v>18</v>
      </c>
    </row>
    <row r="589" spans="1:14" x14ac:dyDescent="0.3">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34</v>
      </c>
      <c r="D590" s="2">
        <v>90000</v>
      </c>
      <c r="E590">
        <v>2</v>
      </c>
      <c r="F590" t="s">
        <v>27</v>
      </c>
      <c r="G590" t="s">
        <v>21</v>
      </c>
      <c r="H590" t="s">
        <v>15</v>
      </c>
      <c r="I590">
        <v>1</v>
      </c>
      <c r="J590" t="s">
        <v>42</v>
      </c>
      <c r="K590" t="s">
        <v>31</v>
      </c>
      <c r="L590">
        <v>51</v>
      </c>
      <c r="M590" t="str">
        <f t="shared" si="9"/>
        <v>Old</v>
      </c>
      <c r="N590" t="s">
        <v>15</v>
      </c>
    </row>
    <row r="591" spans="1:14" x14ac:dyDescent="0.3">
      <c r="A591">
        <v>12100</v>
      </c>
      <c r="B591" t="s">
        <v>33</v>
      </c>
      <c r="C591" t="s">
        <v>35</v>
      </c>
      <c r="D591" s="2">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35</v>
      </c>
      <c r="D593" s="2">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35</v>
      </c>
      <c r="D604" s="2">
        <v>60000</v>
      </c>
      <c r="E604">
        <v>2</v>
      </c>
      <c r="F604" t="s">
        <v>29</v>
      </c>
      <c r="G604" t="s">
        <v>14</v>
      </c>
      <c r="H604" t="s">
        <v>15</v>
      </c>
      <c r="I604">
        <v>2</v>
      </c>
      <c r="J604" t="s">
        <v>23</v>
      </c>
      <c r="K604" t="s">
        <v>31</v>
      </c>
      <c r="L604">
        <v>52</v>
      </c>
      <c r="M604" t="str">
        <f t="shared" si="9"/>
        <v>Old</v>
      </c>
      <c r="N604" t="s">
        <v>15</v>
      </c>
    </row>
    <row r="605" spans="1:14" x14ac:dyDescent="0.3">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35</v>
      </c>
      <c r="D606" s="2">
        <v>40000</v>
      </c>
      <c r="E606">
        <v>0</v>
      </c>
      <c r="F606" t="s">
        <v>27</v>
      </c>
      <c r="G606" t="s">
        <v>14</v>
      </c>
      <c r="H606" t="s">
        <v>15</v>
      </c>
      <c r="I606">
        <v>2</v>
      </c>
      <c r="J606" t="s">
        <v>23</v>
      </c>
      <c r="K606" t="s">
        <v>31</v>
      </c>
      <c r="L606">
        <v>27</v>
      </c>
      <c r="M606" t="str">
        <f t="shared" si="9"/>
        <v>Juvenile</v>
      </c>
      <c r="N606" t="s">
        <v>18</v>
      </c>
    </row>
    <row r="607" spans="1:14" x14ac:dyDescent="0.3">
      <c r="A607">
        <v>17458</v>
      </c>
      <c r="B607" t="s">
        <v>33</v>
      </c>
      <c r="C607" t="s">
        <v>35</v>
      </c>
      <c r="D607" s="2">
        <v>70000</v>
      </c>
      <c r="E607">
        <v>3</v>
      </c>
      <c r="F607" t="s">
        <v>27</v>
      </c>
      <c r="G607" t="s">
        <v>21</v>
      </c>
      <c r="H607" t="s">
        <v>15</v>
      </c>
      <c r="I607">
        <v>0</v>
      </c>
      <c r="J607" t="s">
        <v>23</v>
      </c>
      <c r="K607" t="s">
        <v>31</v>
      </c>
      <c r="L607">
        <v>52</v>
      </c>
      <c r="M607" t="str">
        <f t="shared" si="9"/>
        <v>Old</v>
      </c>
      <c r="N607" t="s">
        <v>15</v>
      </c>
    </row>
    <row r="608" spans="1:14" x14ac:dyDescent="0.3">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34</v>
      </c>
      <c r="D609" s="2">
        <v>70000</v>
      </c>
      <c r="E609">
        <v>5</v>
      </c>
      <c r="F609" t="s">
        <v>30</v>
      </c>
      <c r="G609" t="s">
        <v>21</v>
      </c>
      <c r="H609" t="s">
        <v>15</v>
      </c>
      <c r="I609">
        <v>3</v>
      </c>
      <c r="J609" t="s">
        <v>42</v>
      </c>
      <c r="K609" t="s">
        <v>31</v>
      </c>
      <c r="L609">
        <v>46</v>
      </c>
      <c r="M609" t="str">
        <f t="shared" si="9"/>
        <v>Middle Age</v>
      </c>
      <c r="N609" t="s">
        <v>15</v>
      </c>
    </row>
    <row r="610" spans="1:14" x14ac:dyDescent="0.3">
      <c r="A610">
        <v>16890</v>
      </c>
      <c r="B610" t="s">
        <v>32</v>
      </c>
      <c r="C610" t="s">
        <v>35</v>
      </c>
      <c r="D610" s="2">
        <v>60000</v>
      </c>
      <c r="E610">
        <v>3</v>
      </c>
      <c r="F610" t="s">
        <v>29</v>
      </c>
      <c r="G610" t="s">
        <v>14</v>
      </c>
      <c r="H610" t="s">
        <v>15</v>
      </c>
      <c r="I610">
        <v>2</v>
      </c>
      <c r="J610" t="s">
        <v>23</v>
      </c>
      <c r="K610" t="s">
        <v>31</v>
      </c>
      <c r="L610">
        <v>52</v>
      </c>
      <c r="M610" t="str">
        <f t="shared" si="9"/>
        <v>Old</v>
      </c>
      <c r="N610" t="s">
        <v>15</v>
      </c>
    </row>
    <row r="611" spans="1:14" x14ac:dyDescent="0.3">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34</v>
      </c>
      <c r="D614" s="2">
        <v>30000</v>
      </c>
      <c r="E614">
        <v>0</v>
      </c>
      <c r="F614" t="s">
        <v>29</v>
      </c>
      <c r="G614" t="s">
        <v>20</v>
      </c>
      <c r="H614" t="s">
        <v>15</v>
      </c>
      <c r="I614">
        <v>2</v>
      </c>
      <c r="J614" t="s">
        <v>23</v>
      </c>
      <c r="K614" t="s">
        <v>31</v>
      </c>
      <c r="L614">
        <v>27</v>
      </c>
      <c r="M614" t="str">
        <f t="shared" si="9"/>
        <v>Juvenile</v>
      </c>
      <c r="N614" t="s">
        <v>18</v>
      </c>
    </row>
    <row r="615" spans="1:14" x14ac:dyDescent="0.3">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34</v>
      </c>
      <c r="D621" s="2">
        <v>40000</v>
      </c>
      <c r="E621">
        <v>0</v>
      </c>
      <c r="F621" t="s">
        <v>27</v>
      </c>
      <c r="G621" t="s">
        <v>14</v>
      </c>
      <c r="H621" t="s">
        <v>15</v>
      </c>
      <c r="I621">
        <v>1</v>
      </c>
      <c r="J621" t="s">
        <v>23</v>
      </c>
      <c r="K621" t="s">
        <v>31</v>
      </c>
      <c r="L621">
        <v>30</v>
      </c>
      <c r="M621" t="str">
        <f t="shared" si="9"/>
        <v>Middle Age</v>
      </c>
      <c r="N621" t="s">
        <v>18</v>
      </c>
    </row>
    <row r="622" spans="1:14" x14ac:dyDescent="0.3">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34</v>
      </c>
      <c r="D625" s="2">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34</v>
      </c>
      <c r="D626" s="2">
        <v>70000</v>
      </c>
      <c r="E626">
        <v>0</v>
      </c>
      <c r="F626" t="s">
        <v>19</v>
      </c>
      <c r="G626" t="s">
        <v>14</v>
      </c>
      <c r="H626" t="s">
        <v>18</v>
      </c>
      <c r="I626">
        <v>2</v>
      </c>
      <c r="J626" t="s">
        <v>16</v>
      </c>
      <c r="K626" t="s">
        <v>31</v>
      </c>
      <c r="L626">
        <v>27</v>
      </c>
      <c r="M626" t="str">
        <f t="shared" si="9"/>
        <v>Juvenile</v>
      </c>
      <c r="N626" t="s">
        <v>15</v>
      </c>
    </row>
    <row r="627" spans="1:14" x14ac:dyDescent="0.3">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2">
        <v>60000</v>
      </c>
      <c r="E628">
        <v>0</v>
      </c>
      <c r="F628" t="s">
        <v>19</v>
      </c>
      <c r="G628" t="s">
        <v>14</v>
      </c>
      <c r="H628" t="s">
        <v>15</v>
      </c>
      <c r="I628">
        <v>2</v>
      </c>
      <c r="J628" t="s">
        <v>23</v>
      </c>
      <c r="K628" t="s">
        <v>31</v>
      </c>
      <c r="L628">
        <v>29</v>
      </c>
      <c r="M628" t="str">
        <f t="shared" si="9"/>
        <v>Juvenile</v>
      </c>
      <c r="N628" t="s">
        <v>18</v>
      </c>
    </row>
    <row r="629" spans="1:14" x14ac:dyDescent="0.3">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2">
        <v>80000</v>
      </c>
      <c r="E630">
        <v>3</v>
      </c>
      <c r="F630" t="s">
        <v>19</v>
      </c>
      <c r="G630" t="s">
        <v>21</v>
      </c>
      <c r="H630" t="s">
        <v>18</v>
      </c>
      <c r="I630">
        <v>1</v>
      </c>
      <c r="J630" t="s">
        <v>26</v>
      </c>
      <c r="K630" t="s">
        <v>31</v>
      </c>
      <c r="L630">
        <v>51</v>
      </c>
      <c r="M630" t="str">
        <f t="shared" si="9"/>
        <v>Old</v>
      </c>
      <c r="N630" t="s">
        <v>15</v>
      </c>
    </row>
    <row r="631" spans="1:14" x14ac:dyDescent="0.3">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35</v>
      </c>
      <c r="D632" s="2">
        <v>40000</v>
      </c>
      <c r="E632">
        <v>0</v>
      </c>
      <c r="F632" t="s">
        <v>27</v>
      </c>
      <c r="G632" t="s">
        <v>14</v>
      </c>
      <c r="H632" t="s">
        <v>18</v>
      </c>
      <c r="I632">
        <v>2</v>
      </c>
      <c r="J632" t="s">
        <v>26</v>
      </c>
      <c r="K632" t="s">
        <v>31</v>
      </c>
      <c r="L632">
        <v>30</v>
      </c>
      <c r="M632" t="str">
        <f t="shared" si="9"/>
        <v>Middle Age</v>
      </c>
      <c r="N632" t="s">
        <v>18</v>
      </c>
    </row>
    <row r="633" spans="1:14" x14ac:dyDescent="0.3">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35</v>
      </c>
      <c r="D639" s="2">
        <v>40000</v>
      </c>
      <c r="E639">
        <v>0</v>
      </c>
      <c r="F639" t="s">
        <v>27</v>
      </c>
      <c r="G639" t="s">
        <v>14</v>
      </c>
      <c r="H639" t="s">
        <v>18</v>
      </c>
      <c r="I639">
        <v>2</v>
      </c>
      <c r="J639" t="s">
        <v>26</v>
      </c>
      <c r="K639" t="s">
        <v>31</v>
      </c>
      <c r="L639">
        <v>30</v>
      </c>
      <c r="M639" t="str">
        <f t="shared" si="9"/>
        <v>Middle Age</v>
      </c>
      <c r="N639" t="s">
        <v>18</v>
      </c>
    </row>
    <row r="640" spans="1:14" x14ac:dyDescent="0.3">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35</v>
      </c>
      <c r="D643" s="2">
        <v>50000</v>
      </c>
      <c r="E643">
        <v>4</v>
      </c>
      <c r="F643" t="s">
        <v>13</v>
      </c>
      <c r="G643" t="s">
        <v>28</v>
      </c>
      <c r="H643" t="s">
        <v>15</v>
      </c>
      <c r="I643">
        <v>2</v>
      </c>
      <c r="J643" t="s">
        <v>42</v>
      </c>
      <c r="K643" t="s">
        <v>31</v>
      </c>
      <c r="L643">
        <v>64</v>
      </c>
      <c r="M643" t="str">
        <f t="shared" ref="M643:M706" si="10">IF(L643&gt;=50,"Old",IF(L643&gt;=30,"Middle Age",IF(L643&lt;30,"Juvenile","Invalid")))</f>
        <v>Old</v>
      </c>
      <c r="N643" t="s">
        <v>18</v>
      </c>
    </row>
    <row r="644" spans="1:14" x14ac:dyDescent="0.3">
      <c r="A644">
        <v>21741</v>
      </c>
      <c r="B644" t="s">
        <v>32</v>
      </c>
      <c r="C644" t="s">
        <v>34</v>
      </c>
      <c r="D644" s="2">
        <v>70000</v>
      </c>
      <c r="E644">
        <v>3</v>
      </c>
      <c r="F644" t="s">
        <v>19</v>
      </c>
      <c r="G644" t="s">
        <v>21</v>
      </c>
      <c r="H644" t="s">
        <v>15</v>
      </c>
      <c r="I644">
        <v>2</v>
      </c>
      <c r="J644" t="s">
        <v>23</v>
      </c>
      <c r="K644" t="s">
        <v>31</v>
      </c>
      <c r="L644">
        <v>50</v>
      </c>
      <c r="M644" t="str">
        <f t="shared" si="10"/>
        <v>Old</v>
      </c>
      <c r="N644" t="s">
        <v>15</v>
      </c>
    </row>
    <row r="645" spans="1:14" x14ac:dyDescent="0.3">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34</v>
      </c>
      <c r="D646" s="2">
        <v>60000</v>
      </c>
      <c r="E646">
        <v>5</v>
      </c>
      <c r="F646" t="s">
        <v>13</v>
      </c>
      <c r="G646" t="s">
        <v>14</v>
      </c>
      <c r="H646" t="s">
        <v>15</v>
      </c>
      <c r="I646">
        <v>3</v>
      </c>
      <c r="J646" t="s">
        <v>42</v>
      </c>
      <c r="K646" t="s">
        <v>31</v>
      </c>
      <c r="L646">
        <v>41</v>
      </c>
      <c r="M646" t="str">
        <f t="shared" si="10"/>
        <v>Middle Age</v>
      </c>
      <c r="N646" t="s">
        <v>18</v>
      </c>
    </row>
    <row r="647" spans="1:14" x14ac:dyDescent="0.3">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34</v>
      </c>
      <c r="D652" s="2">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35</v>
      </c>
      <c r="D658" s="2">
        <v>60000</v>
      </c>
      <c r="E658">
        <v>2</v>
      </c>
      <c r="F658" t="s">
        <v>27</v>
      </c>
      <c r="G658" t="s">
        <v>21</v>
      </c>
      <c r="H658" t="s">
        <v>18</v>
      </c>
      <c r="I658">
        <v>2</v>
      </c>
      <c r="J658" t="s">
        <v>23</v>
      </c>
      <c r="K658" t="s">
        <v>31</v>
      </c>
      <c r="L658">
        <v>50</v>
      </c>
      <c r="M658" t="str">
        <f t="shared" si="10"/>
        <v>Old</v>
      </c>
      <c r="N658" t="s">
        <v>18</v>
      </c>
    </row>
    <row r="659" spans="1:14" x14ac:dyDescent="0.3">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34</v>
      </c>
      <c r="D661" s="2">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35</v>
      </c>
      <c r="D663" s="2">
        <v>40000</v>
      </c>
      <c r="E663">
        <v>0</v>
      </c>
      <c r="F663" t="s">
        <v>27</v>
      </c>
      <c r="G663" t="s">
        <v>14</v>
      </c>
      <c r="H663" t="s">
        <v>18</v>
      </c>
      <c r="I663">
        <v>2</v>
      </c>
      <c r="J663" t="s">
        <v>16</v>
      </c>
      <c r="K663" t="s">
        <v>31</v>
      </c>
      <c r="L663">
        <v>28</v>
      </c>
      <c r="M663" t="str">
        <f t="shared" si="10"/>
        <v>Juvenile</v>
      </c>
      <c r="N663" t="s">
        <v>15</v>
      </c>
    </row>
    <row r="664" spans="1:14" x14ac:dyDescent="0.3">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34</v>
      </c>
      <c r="D669" s="2">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34</v>
      </c>
      <c r="D671" s="2">
        <v>60000</v>
      </c>
      <c r="E671">
        <v>2</v>
      </c>
      <c r="F671" t="s">
        <v>27</v>
      </c>
      <c r="G671" t="s">
        <v>21</v>
      </c>
      <c r="H671" t="s">
        <v>15</v>
      </c>
      <c r="I671">
        <v>2</v>
      </c>
      <c r="J671" t="s">
        <v>23</v>
      </c>
      <c r="K671" t="s">
        <v>31</v>
      </c>
      <c r="L671">
        <v>50</v>
      </c>
      <c r="M671" t="str">
        <f t="shared" si="10"/>
        <v>Old</v>
      </c>
      <c r="N671" t="s">
        <v>18</v>
      </c>
    </row>
    <row r="672" spans="1:14" x14ac:dyDescent="0.3">
      <c r="A672">
        <v>21471</v>
      </c>
      <c r="B672" t="s">
        <v>32</v>
      </c>
      <c r="C672" t="s">
        <v>35</v>
      </c>
      <c r="D672" s="2">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34</v>
      </c>
      <c r="D674" s="2">
        <v>40000</v>
      </c>
      <c r="E674">
        <v>0</v>
      </c>
      <c r="F674" t="s">
        <v>27</v>
      </c>
      <c r="G674" t="s">
        <v>14</v>
      </c>
      <c r="H674" t="s">
        <v>15</v>
      </c>
      <c r="I674">
        <v>2</v>
      </c>
      <c r="J674" t="s">
        <v>23</v>
      </c>
      <c r="K674" t="s">
        <v>31</v>
      </c>
      <c r="L674">
        <v>30</v>
      </c>
      <c r="M674" t="str">
        <f t="shared" si="10"/>
        <v>Middle Age</v>
      </c>
      <c r="N674" t="s">
        <v>18</v>
      </c>
    </row>
    <row r="675" spans="1:14" x14ac:dyDescent="0.3">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2">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35</v>
      </c>
      <c r="D684" s="2">
        <v>20000</v>
      </c>
      <c r="E684">
        <v>3</v>
      </c>
      <c r="F684" t="s">
        <v>29</v>
      </c>
      <c r="G684" t="s">
        <v>20</v>
      </c>
      <c r="H684" t="s">
        <v>18</v>
      </c>
      <c r="I684">
        <v>2</v>
      </c>
      <c r="J684" t="s">
        <v>16</v>
      </c>
      <c r="K684" t="s">
        <v>31</v>
      </c>
      <c r="L684">
        <v>52</v>
      </c>
      <c r="M684" t="str">
        <f t="shared" si="10"/>
        <v>Old</v>
      </c>
      <c r="N684" t="s">
        <v>18</v>
      </c>
    </row>
    <row r="685" spans="1:14" x14ac:dyDescent="0.3">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34</v>
      </c>
      <c r="D687" s="2">
        <v>60000</v>
      </c>
      <c r="E687">
        <v>3</v>
      </c>
      <c r="F687" t="s">
        <v>30</v>
      </c>
      <c r="G687" t="s">
        <v>28</v>
      </c>
      <c r="H687" t="s">
        <v>15</v>
      </c>
      <c r="I687">
        <v>2</v>
      </c>
      <c r="J687" t="s">
        <v>23</v>
      </c>
      <c r="K687" t="s">
        <v>31</v>
      </c>
      <c r="L687">
        <v>53</v>
      </c>
      <c r="M687" t="str">
        <f t="shared" si="10"/>
        <v>Old</v>
      </c>
      <c r="N687" t="s">
        <v>15</v>
      </c>
    </row>
    <row r="688" spans="1:14" x14ac:dyDescent="0.3">
      <c r="A688">
        <v>12774</v>
      </c>
      <c r="B688" t="s">
        <v>32</v>
      </c>
      <c r="C688" t="s">
        <v>34</v>
      </c>
      <c r="D688" s="2">
        <v>40000</v>
      </c>
      <c r="E688">
        <v>1</v>
      </c>
      <c r="F688" t="s">
        <v>19</v>
      </c>
      <c r="G688" t="s">
        <v>20</v>
      </c>
      <c r="H688" t="s">
        <v>15</v>
      </c>
      <c r="I688">
        <v>1</v>
      </c>
      <c r="J688" t="s">
        <v>26</v>
      </c>
      <c r="K688" t="s">
        <v>31</v>
      </c>
      <c r="L688">
        <v>51</v>
      </c>
      <c r="M688" t="str">
        <f t="shared" si="10"/>
        <v>Old</v>
      </c>
      <c r="N688" t="s">
        <v>15</v>
      </c>
    </row>
    <row r="689" spans="1:14" x14ac:dyDescent="0.3">
      <c r="A689">
        <v>18910</v>
      </c>
      <c r="B689" t="s">
        <v>33</v>
      </c>
      <c r="C689" t="s">
        <v>35</v>
      </c>
      <c r="D689" s="2">
        <v>30000</v>
      </c>
      <c r="E689">
        <v>0</v>
      </c>
      <c r="F689" t="s">
        <v>19</v>
      </c>
      <c r="G689" t="s">
        <v>14</v>
      </c>
      <c r="H689" t="s">
        <v>15</v>
      </c>
      <c r="I689">
        <v>2</v>
      </c>
      <c r="J689" t="s">
        <v>23</v>
      </c>
      <c r="K689" t="s">
        <v>31</v>
      </c>
      <c r="L689">
        <v>30</v>
      </c>
      <c r="M689" t="str">
        <f t="shared" si="10"/>
        <v>Middle Age</v>
      </c>
      <c r="N689" t="s">
        <v>18</v>
      </c>
    </row>
    <row r="690" spans="1:14" x14ac:dyDescent="0.3">
      <c r="A690">
        <v>11699</v>
      </c>
      <c r="B690" t="s">
        <v>33</v>
      </c>
      <c r="C690" t="s">
        <v>35</v>
      </c>
      <c r="D690" s="2">
        <v>60000</v>
      </c>
      <c r="E690">
        <v>0</v>
      </c>
      <c r="F690" t="s">
        <v>13</v>
      </c>
      <c r="G690" t="s">
        <v>14</v>
      </c>
      <c r="H690" t="s">
        <v>18</v>
      </c>
      <c r="I690">
        <v>2</v>
      </c>
      <c r="J690" t="s">
        <v>16</v>
      </c>
      <c r="K690" t="s">
        <v>31</v>
      </c>
      <c r="L690">
        <v>30</v>
      </c>
      <c r="M690" t="str">
        <f t="shared" si="10"/>
        <v>Middle Age</v>
      </c>
      <c r="N690" t="s">
        <v>18</v>
      </c>
    </row>
    <row r="691" spans="1:14" x14ac:dyDescent="0.3">
      <c r="A691">
        <v>16725</v>
      </c>
      <c r="B691" t="s">
        <v>32</v>
      </c>
      <c r="C691" t="s">
        <v>35</v>
      </c>
      <c r="D691" s="2">
        <v>30000</v>
      </c>
      <c r="E691">
        <v>0</v>
      </c>
      <c r="F691" t="s">
        <v>27</v>
      </c>
      <c r="G691" t="s">
        <v>14</v>
      </c>
      <c r="H691" t="s">
        <v>15</v>
      </c>
      <c r="I691">
        <v>2</v>
      </c>
      <c r="J691" t="s">
        <v>23</v>
      </c>
      <c r="K691" t="s">
        <v>31</v>
      </c>
      <c r="L691">
        <v>26</v>
      </c>
      <c r="M691" t="str">
        <f t="shared" si="10"/>
        <v>Juvenile</v>
      </c>
      <c r="N691" t="s">
        <v>18</v>
      </c>
    </row>
    <row r="692" spans="1:14" x14ac:dyDescent="0.3">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35</v>
      </c>
      <c r="D698" s="2">
        <v>60000</v>
      </c>
      <c r="E698">
        <v>0</v>
      </c>
      <c r="F698" t="s">
        <v>19</v>
      </c>
      <c r="G698" t="s">
        <v>21</v>
      </c>
      <c r="H698" t="s">
        <v>18</v>
      </c>
      <c r="I698">
        <v>2</v>
      </c>
      <c r="J698" t="s">
        <v>26</v>
      </c>
      <c r="K698" t="s">
        <v>31</v>
      </c>
      <c r="L698">
        <v>30</v>
      </c>
      <c r="M698" t="str">
        <f t="shared" si="10"/>
        <v>Middle Age</v>
      </c>
      <c r="N698" t="s">
        <v>18</v>
      </c>
    </row>
    <row r="699" spans="1:14" x14ac:dyDescent="0.3">
      <c r="A699">
        <v>14090</v>
      </c>
      <c r="B699" t="s">
        <v>32</v>
      </c>
      <c r="C699" t="s">
        <v>34</v>
      </c>
      <c r="D699" s="2">
        <v>30000</v>
      </c>
      <c r="E699">
        <v>0</v>
      </c>
      <c r="F699" t="s">
        <v>29</v>
      </c>
      <c r="G699" t="s">
        <v>20</v>
      </c>
      <c r="H699" t="s">
        <v>18</v>
      </c>
      <c r="I699">
        <v>2</v>
      </c>
      <c r="J699" t="s">
        <v>16</v>
      </c>
      <c r="K699" t="s">
        <v>31</v>
      </c>
      <c r="L699">
        <v>28</v>
      </c>
      <c r="M699" t="str">
        <f t="shared" si="10"/>
        <v>Juvenile</v>
      </c>
      <c r="N699" t="s">
        <v>18</v>
      </c>
    </row>
    <row r="700" spans="1:14" x14ac:dyDescent="0.3">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2">
        <v>30000</v>
      </c>
      <c r="E703">
        <v>0</v>
      </c>
      <c r="F703" t="s">
        <v>27</v>
      </c>
      <c r="G703" t="s">
        <v>14</v>
      </c>
      <c r="H703" t="s">
        <v>15</v>
      </c>
      <c r="I703">
        <v>2</v>
      </c>
      <c r="J703" t="s">
        <v>23</v>
      </c>
      <c r="K703" t="s">
        <v>31</v>
      </c>
      <c r="L703">
        <v>26</v>
      </c>
      <c r="M703" t="str">
        <f t="shared" si="10"/>
        <v>Juvenile</v>
      </c>
      <c r="N703" t="s">
        <v>18</v>
      </c>
    </row>
    <row r="704" spans="1:14" x14ac:dyDescent="0.3">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34</v>
      </c>
      <c r="D707" s="2">
        <v>70000</v>
      </c>
      <c r="E707">
        <v>4</v>
      </c>
      <c r="F707" t="s">
        <v>13</v>
      </c>
      <c r="G707" t="s">
        <v>28</v>
      </c>
      <c r="H707" t="s">
        <v>15</v>
      </c>
      <c r="I707">
        <v>1</v>
      </c>
      <c r="J707" t="s">
        <v>42</v>
      </c>
      <c r="K707" t="s">
        <v>31</v>
      </c>
      <c r="L707">
        <v>59</v>
      </c>
      <c r="M707" t="str">
        <f t="shared" ref="M707:M770" si="11">IF(L707&gt;=50,"Old",IF(L707&gt;=30,"Middle Age",IF(L707&lt;30,"Juvenile","Invalid")))</f>
        <v>Old</v>
      </c>
      <c r="N707" t="s">
        <v>18</v>
      </c>
    </row>
    <row r="708" spans="1:14" x14ac:dyDescent="0.3">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35</v>
      </c>
      <c r="D710" s="2">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34</v>
      </c>
      <c r="D711" s="2">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35</v>
      </c>
      <c r="D716" s="2">
        <v>40000</v>
      </c>
      <c r="E716">
        <v>0</v>
      </c>
      <c r="F716" t="s">
        <v>27</v>
      </c>
      <c r="G716" t="s">
        <v>14</v>
      </c>
      <c r="H716" t="s">
        <v>15</v>
      </c>
      <c r="I716">
        <v>2</v>
      </c>
      <c r="J716" t="s">
        <v>23</v>
      </c>
      <c r="K716" t="s">
        <v>31</v>
      </c>
      <c r="L716">
        <v>28</v>
      </c>
      <c r="M716" t="str">
        <f t="shared" si="11"/>
        <v>Juvenile</v>
      </c>
      <c r="N716" t="s">
        <v>15</v>
      </c>
    </row>
    <row r="717" spans="1:14" x14ac:dyDescent="0.3">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34</v>
      </c>
      <c r="D724" s="2">
        <v>70000</v>
      </c>
      <c r="E724">
        <v>3</v>
      </c>
      <c r="F724" t="s">
        <v>30</v>
      </c>
      <c r="G724" t="s">
        <v>28</v>
      </c>
      <c r="H724" t="s">
        <v>18</v>
      </c>
      <c r="I724">
        <v>2</v>
      </c>
      <c r="J724" t="s">
        <v>26</v>
      </c>
      <c r="K724" t="s">
        <v>31</v>
      </c>
      <c r="L724">
        <v>53</v>
      </c>
      <c r="M724" t="str">
        <f t="shared" si="11"/>
        <v>Old</v>
      </c>
      <c r="N724" t="s">
        <v>18</v>
      </c>
    </row>
    <row r="725" spans="1:14" x14ac:dyDescent="0.3">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35</v>
      </c>
      <c r="D728" s="2">
        <v>20000</v>
      </c>
      <c r="E728">
        <v>2</v>
      </c>
      <c r="F728" t="s">
        <v>27</v>
      </c>
      <c r="G728" t="s">
        <v>25</v>
      </c>
      <c r="H728" t="s">
        <v>18</v>
      </c>
      <c r="I728">
        <v>2</v>
      </c>
      <c r="J728" t="s">
        <v>16</v>
      </c>
      <c r="K728" t="s">
        <v>31</v>
      </c>
      <c r="L728">
        <v>53</v>
      </c>
      <c r="M728" t="str">
        <f t="shared" si="11"/>
        <v>Old</v>
      </c>
      <c r="N728" t="s">
        <v>18</v>
      </c>
    </row>
    <row r="729" spans="1:14" x14ac:dyDescent="0.3">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35</v>
      </c>
      <c r="D730" s="2">
        <v>40000</v>
      </c>
      <c r="E730">
        <v>0</v>
      </c>
      <c r="F730" t="s">
        <v>27</v>
      </c>
      <c r="G730" t="s">
        <v>14</v>
      </c>
      <c r="H730" t="s">
        <v>15</v>
      </c>
      <c r="I730">
        <v>2</v>
      </c>
      <c r="J730" t="s">
        <v>23</v>
      </c>
      <c r="K730" t="s">
        <v>31</v>
      </c>
      <c r="L730">
        <v>27</v>
      </c>
      <c r="M730" t="str">
        <f t="shared" si="11"/>
        <v>Juvenile</v>
      </c>
      <c r="N730" t="s">
        <v>18</v>
      </c>
    </row>
    <row r="731" spans="1:14" x14ac:dyDescent="0.3">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34</v>
      </c>
      <c r="D737" s="2">
        <v>30000</v>
      </c>
      <c r="E737">
        <v>0</v>
      </c>
      <c r="F737" t="s">
        <v>19</v>
      </c>
      <c r="G737" t="s">
        <v>14</v>
      </c>
      <c r="H737" t="s">
        <v>15</v>
      </c>
      <c r="I737">
        <v>1</v>
      </c>
      <c r="J737" t="s">
        <v>23</v>
      </c>
      <c r="K737" t="s">
        <v>31</v>
      </c>
      <c r="L737">
        <v>26</v>
      </c>
      <c r="M737" t="str">
        <f t="shared" si="11"/>
        <v>Juvenile</v>
      </c>
      <c r="N737" t="s">
        <v>18</v>
      </c>
    </row>
    <row r="738" spans="1:14" x14ac:dyDescent="0.3">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34</v>
      </c>
      <c r="D741" s="2">
        <v>60000</v>
      </c>
      <c r="E741">
        <v>2</v>
      </c>
      <c r="F741" t="s">
        <v>19</v>
      </c>
      <c r="G741" t="s">
        <v>21</v>
      </c>
      <c r="H741" t="s">
        <v>15</v>
      </c>
      <c r="I741">
        <v>1</v>
      </c>
      <c r="J741" t="s">
        <v>42</v>
      </c>
      <c r="K741" t="s">
        <v>31</v>
      </c>
      <c r="L741">
        <v>55</v>
      </c>
      <c r="M741" t="str">
        <f t="shared" si="11"/>
        <v>Old</v>
      </c>
      <c r="N741" t="s">
        <v>18</v>
      </c>
    </row>
    <row r="742" spans="1:14" x14ac:dyDescent="0.3">
      <c r="A742">
        <v>17657</v>
      </c>
      <c r="B742" t="s">
        <v>32</v>
      </c>
      <c r="C742" t="s">
        <v>35</v>
      </c>
      <c r="D742" s="2">
        <v>40000</v>
      </c>
      <c r="E742">
        <v>4</v>
      </c>
      <c r="F742" t="s">
        <v>19</v>
      </c>
      <c r="G742" t="s">
        <v>20</v>
      </c>
      <c r="H742" t="s">
        <v>18</v>
      </c>
      <c r="I742">
        <v>0</v>
      </c>
      <c r="J742" t="s">
        <v>16</v>
      </c>
      <c r="K742" t="s">
        <v>31</v>
      </c>
      <c r="L742">
        <v>30</v>
      </c>
      <c r="M742" t="str">
        <f t="shared" si="11"/>
        <v>Middle Age</v>
      </c>
      <c r="N742" t="s">
        <v>18</v>
      </c>
    </row>
    <row r="743" spans="1:14" x14ac:dyDescent="0.3">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35</v>
      </c>
      <c r="D744" s="2">
        <v>30000</v>
      </c>
      <c r="E744">
        <v>0</v>
      </c>
      <c r="F744" t="s">
        <v>27</v>
      </c>
      <c r="G744" t="s">
        <v>14</v>
      </c>
      <c r="H744" t="s">
        <v>15</v>
      </c>
      <c r="I744">
        <v>2</v>
      </c>
      <c r="J744" t="s">
        <v>23</v>
      </c>
      <c r="K744" t="s">
        <v>31</v>
      </c>
      <c r="L744">
        <v>30</v>
      </c>
      <c r="M744" t="str">
        <f t="shared" si="11"/>
        <v>Middle Age</v>
      </c>
      <c r="N744" t="s">
        <v>18</v>
      </c>
    </row>
    <row r="745" spans="1:14" x14ac:dyDescent="0.3">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34</v>
      </c>
      <c r="D746" s="2">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34</v>
      </c>
      <c r="D748" s="2">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2">
        <v>30000</v>
      </c>
      <c r="E752">
        <v>2</v>
      </c>
      <c r="F752" t="s">
        <v>27</v>
      </c>
      <c r="G752" t="s">
        <v>14</v>
      </c>
      <c r="H752" t="s">
        <v>15</v>
      </c>
      <c r="I752">
        <v>2</v>
      </c>
      <c r="J752" t="s">
        <v>26</v>
      </c>
      <c r="K752" t="s">
        <v>31</v>
      </c>
      <c r="L752">
        <v>50</v>
      </c>
      <c r="M752" t="str">
        <f t="shared" si="11"/>
        <v>Old</v>
      </c>
      <c r="N752" t="s">
        <v>18</v>
      </c>
    </row>
    <row r="753" spans="1:14" x14ac:dyDescent="0.3">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34</v>
      </c>
      <c r="D755" s="2">
        <v>40000</v>
      </c>
      <c r="E755">
        <v>0</v>
      </c>
      <c r="F755" t="s">
        <v>19</v>
      </c>
      <c r="G755" t="s">
        <v>14</v>
      </c>
      <c r="H755" t="s">
        <v>18</v>
      </c>
      <c r="I755">
        <v>1</v>
      </c>
      <c r="J755" t="s">
        <v>26</v>
      </c>
      <c r="K755" t="s">
        <v>31</v>
      </c>
      <c r="L755">
        <v>27</v>
      </c>
      <c r="M755" t="str">
        <f t="shared" si="11"/>
        <v>Juvenile</v>
      </c>
      <c r="N755" t="s">
        <v>18</v>
      </c>
    </row>
    <row r="756" spans="1:14" x14ac:dyDescent="0.3">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2">
        <v>60000</v>
      </c>
      <c r="E757">
        <v>3</v>
      </c>
      <c r="F757" t="s">
        <v>27</v>
      </c>
      <c r="G757" t="s">
        <v>21</v>
      </c>
      <c r="H757" t="s">
        <v>18</v>
      </c>
      <c r="I757">
        <v>2</v>
      </c>
      <c r="J757" t="s">
        <v>22</v>
      </c>
      <c r="K757" t="s">
        <v>31</v>
      </c>
      <c r="L757">
        <v>53</v>
      </c>
      <c r="M757" t="str">
        <f t="shared" si="11"/>
        <v>Old</v>
      </c>
      <c r="N757" t="s">
        <v>18</v>
      </c>
    </row>
    <row r="758" spans="1:14" x14ac:dyDescent="0.3">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35</v>
      </c>
      <c r="D759" s="2">
        <v>30000</v>
      </c>
      <c r="E759">
        <v>1</v>
      </c>
      <c r="F759" t="s">
        <v>27</v>
      </c>
      <c r="G759" t="s">
        <v>20</v>
      </c>
      <c r="H759" t="s">
        <v>15</v>
      </c>
      <c r="I759">
        <v>2</v>
      </c>
      <c r="J759" t="s">
        <v>26</v>
      </c>
      <c r="K759" t="s">
        <v>31</v>
      </c>
      <c r="L759">
        <v>51</v>
      </c>
      <c r="M759" t="str">
        <f t="shared" si="11"/>
        <v>Old</v>
      </c>
      <c r="N759" t="s">
        <v>15</v>
      </c>
    </row>
    <row r="760" spans="1:14" x14ac:dyDescent="0.3">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35</v>
      </c>
      <c r="D762" s="2">
        <v>20000</v>
      </c>
      <c r="E762">
        <v>3</v>
      </c>
      <c r="F762" t="s">
        <v>29</v>
      </c>
      <c r="G762" t="s">
        <v>20</v>
      </c>
      <c r="H762" t="s">
        <v>18</v>
      </c>
      <c r="I762">
        <v>2</v>
      </c>
      <c r="J762" t="s">
        <v>16</v>
      </c>
      <c r="K762" t="s">
        <v>31</v>
      </c>
      <c r="L762">
        <v>50</v>
      </c>
      <c r="M762" t="str">
        <f t="shared" si="11"/>
        <v>Old</v>
      </c>
      <c r="N762" t="s">
        <v>18</v>
      </c>
    </row>
    <row r="763" spans="1:14" x14ac:dyDescent="0.3">
      <c r="A763">
        <v>13216</v>
      </c>
      <c r="B763" t="s">
        <v>32</v>
      </c>
      <c r="C763" t="s">
        <v>34</v>
      </c>
      <c r="D763" s="2">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34</v>
      </c>
      <c r="D766" s="2">
        <v>60000</v>
      </c>
      <c r="E766">
        <v>0</v>
      </c>
      <c r="F766" t="s">
        <v>19</v>
      </c>
      <c r="G766" t="s">
        <v>14</v>
      </c>
      <c r="H766" t="s">
        <v>18</v>
      </c>
      <c r="I766">
        <v>1</v>
      </c>
      <c r="J766" t="s">
        <v>26</v>
      </c>
      <c r="K766" t="s">
        <v>31</v>
      </c>
      <c r="L766">
        <v>27</v>
      </c>
      <c r="M766" t="str">
        <f t="shared" si="11"/>
        <v>Juvenile</v>
      </c>
      <c r="N766" t="s">
        <v>18</v>
      </c>
    </row>
    <row r="767" spans="1:14" x14ac:dyDescent="0.3">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35</v>
      </c>
      <c r="D768" s="2">
        <v>50000</v>
      </c>
      <c r="E768">
        <v>4</v>
      </c>
      <c r="F768" t="s">
        <v>13</v>
      </c>
      <c r="G768" t="s">
        <v>14</v>
      </c>
      <c r="H768" t="s">
        <v>15</v>
      </c>
      <c r="I768">
        <v>3</v>
      </c>
      <c r="J768" t="s">
        <v>42</v>
      </c>
      <c r="K768" t="s">
        <v>31</v>
      </c>
      <c r="L768">
        <v>42</v>
      </c>
      <c r="M768" t="str">
        <f t="shared" si="11"/>
        <v>Middle Age</v>
      </c>
      <c r="N768" t="s">
        <v>18</v>
      </c>
    </row>
    <row r="769" spans="1:14" x14ac:dyDescent="0.3">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34</v>
      </c>
      <c r="D771" s="2">
        <v>100000</v>
      </c>
      <c r="E771">
        <v>4</v>
      </c>
      <c r="F771" t="s">
        <v>13</v>
      </c>
      <c r="G771" t="s">
        <v>28</v>
      </c>
      <c r="H771" t="s">
        <v>15</v>
      </c>
      <c r="I771">
        <v>4</v>
      </c>
      <c r="J771" t="s">
        <v>16</v>
      </c>
      <c r="K771" t="s">
        <v>31</v>
      </c>
      <c r="L771">
        <v>40</v>
      </c>
      <c r="M771" t="str">
        <f t="shared" ref="M771:M834" si="12">IF(L771&gt;=50,"Old",IF(L771&gt;=30,"Middle Age",IF(L771&lt;30,"Juvenile","Invalid")))</f>
        <v>Middle Age</v>
      </c>
      <c r="N771" t="s">
        <v>18</v>
      </c>
    </row>
    <row r="772" spans="1:14" x14ac:dyDescent="0.3">
      <c r="A772">
        <v>17699</v>
      </c>
      <c r="B772" t="s">
        <v>32</v>
      </c>
      <c r="C772" t="s">
        <v>35</v>
      </c>
      <c r="D772" s="2">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35</v>
      </c>
      <c r="D777" s="2">
        <v>70000</v>
      </c>
      <c r="E777">
        <v>2</v>
      </c>
      <c r="F777" t="s">
        <v>29</v>
      </c>
      <c r="G777" t="s">
        <v>14</v>
      </c>
      <c r="H777" t="s">
        <v>15</v>
      </c>
      <c r="I777">
        <v>2</v>
      </c>
      <c r="J777" t="s">
        <v>42</v>
      </c>
      <c r="K777" t="s">
        <v>31</v>
      </c>
      <c r="L777">
        <v>54</v>
      </c>
      <c r="M777" t="str">
        <f t="shared" si="12"/>
        <v>Old</v>
      </c>
      <c r="N777" t="s">
        <v>18</v>
      </c>
    </row>
    <row r="778" spans="1:14" x14ac:dyDescent="0.3">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2">
        <v>40000</v>
      </c>
      <c r="E779">
        <v>0</v>
      </c>
      <c r="F779" t="s">
        <v>27</v>
      </c>
      <c r="G779" t="s">
        <v>14</v>
      </c>
      <c r="H779" t="s">
        <v>15</v>
      </c>
      <c r="I779">
        <v>2</v>
      </c>
      <c r="J779" t="s">
        <v>23</v>
      </c>
      <c r="K779" t="s">
        <v>31</v>
      </c>
      <c r="L779">
        <v>27</v>
      </c>
      <c r="M779" t="str">
        <f t="shared" si="12"/>
        <v>Juvenile</v>
      </c>
      <c r="N779" t="s">
        <v>18</v>
      </c>
    </row>
    <row r="780" spans="1:14" x14ac:dyDescent="0.3">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35</v>
      </c>
      <c r="D781" s="2">
        <v>80000</v>
      </c>
      <c r="E781">
        <v>3</v>
      </c>
      <c r="F781" t="s">
        <v>19</v>
      </c>
      <c r="G781" t="s">
        <v>21</v>
      </c>
      <c r="H781" t="s">
        <v>18</v>
      </c>
      <c r="I781">
        <v>2</v>
      </c>
      <c r="J781" t="s">
        <v>22</v>
      </c>
      <c r="K781" t="s">
        <v>31</v>
      </c>
      <c r="L781">
        <v>50</v>
      </c>
      <c r="M781" t="str">
        <f t="shared" si="12"/>
        <v>Old</v>
      </c>
      <c r="N781" t="s">
        <v>15</v>
      </c>
    </row>
    <row r="782" spans="1:14" x14ac:dyDescent="0.3">
      <c r="A782">
        <v>18105</v>
      </c>
      <c r="B782" t="s">
        <v>32</v>
      </c>
      <c r="C782" t="s">
        <v>34</v>
      </c>
      <c r="D782" s="2">
        <v>60000</v>
      </c>
      <c r="E782">
        <v>2</v>
      </c>
      <c r="F782" t="s">
        <v>19</v>
      </c>
      <c r="G782" t="s">
        <v>21</v>
      </c>
      <c r="H782" t="s">
        <v>15</v>
      </c>
      <c r="I782">
        <v>1</v>
      </c>
      <c r="J782" t="s">
        <v>42</v>
      </c>
      <c r="K782" t="s">
        <v>31</v>
      </c>
      <c r="L782">
        <v>55</v>
      </c>
      <c r="M782" t="str">
        <f t="shared" si="12"/>
        <v>Old</v>
      </c>
      <c r="N782" t="s">
        <v>18</v>
      </c>
    </row>
    <row r="783" spans="1:14" x14ac:dyDescent="0.3">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34</v>
      </c>
      <c r="D786" s="2">
        <v>10000</v>
      </c>
      <c r="E786">
        <v>2</v>
      </c>
      <c r="F786" t="s">
        <v>27</v>
      </c>
      <c r="G786" t="s">
        <v>25</v>
      </c>
      <c r="H786" t="s">
        <v>15</v>
      </c>
      <c r="I786">
        <v>2</v>
      </c>
      <c r="J786" t="s">
        <v>26</v>
      </c>
      <c r="K786" t="s">
        <v>31</v>
      </c>
      <c r="L786">
        <v>53</v>
      </c>
      <c r="M786" t="str">
        <f t="shared" si="12"/>
        <v>Old</v>
      </c>
      <c r="N786" t="s">
        <v>15</v>
      </c>
    </row>
    <row r="787" spans="1:14" x14ac:dyDescent="0.3">
      <c r="A787">
        <v>24496</v>
      </c>
      <c r="B787" t="s">
        <v>33</v>
      </c>
      <c r="C787" t="s">
        <v>34</v>
      </c>
      <c r="D787" s="2">
        <v>40000</v>
      </c>
      <c r="E787">
        <v>0</v>
      </c>
      <c r="F787" t="s">
        <v>27</v>
      </c>
      <c r="G787" t="s">
        <v>14</v>
      </c>
      <c r="H787" t="s">
        <v>18</v>
      </c>
      <c r="I787">
        <v>2</v>
      </c>
      <c r="J787" t="s">
        <v>16</v>
      </c>
      <c r="K787" t="s">
        <v>31</v>
      </c>
      <c r="L787">
        <v>28</v>
      </c>
      <c r="M787" t="str">
        <f t="shared" si="12"/>
        <v>Juvenile</v>
      </c>
      <c r="N787" t="s">
        <v>15</v>
      </c>
    </row>
    <row r="788" spans="1:14" x14ac:dyDescent="0.3">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34</v>
      </c>
      <c r="D792" s="2">
        <v>80000</v>
      </c>
      <c r="E792">
        <v>2</v>
      </c>
      <c r="F792" t="s">
        <v>29</v>
      </c>
      <c r="G792" t="s">
        <v>14</v>
      </c>
      <c r="H792" t="s">
        <v>18</v>
      </c>
      <c r="I792">
        <v>2</v>
      </c>
      <c r="J792" t="s">
        <v>26</v>
      </c>
      <c r="K792" t="s">
        <v>31</v>
      </c>
      <c r="L792">
        <v>50</v>
      </c>
      <c r="M792" t="str">
        <f t="shared" si="12"/>
        <v>Old</v>
      </c>
      <c r="N792" t="s">
        <v>18</v>
      </c>
    </row>
    <row r="793" spans="1:14" x14ac:dyDescent="0.3">
      <c r="A793">
        <v>18363</v>
      </c>
      <c r="B793" t="s">
        <v>32</v>
      </c>
      <c r="C793" t="s">
        <v>35</v>
      </c>
      <c r="D793" s="2">
        <v>40000</v>
      </c>
      <c r="E793">
        <v>0</v>
      </c>
      <c r="F793" t="s">
        <v>27</v>
      </c>
      <c r="G793" t="s">
        <v>14</v>
      </c>
      <c r="H793" t="s">
        <v>15</v>
      </c>
      <c r="I793">
        <v>2</v>
      </c>
      <c r="J793" t="s">
        <v>23</v>
      </c>
      <c r="K793" t="s">
        <v>31</v>
      </c>
      <c r="L793">
        <v>28</v>
      </c>
      <c r="M793" t="str">
        <f t="shared" si="12"/>
        <v>Juvenile</v>
      </c>
      <c r="N793" t="s">
        <v>15</v>
      </c>
    </row>
    <row r="794" spans="1:14" x14ac:dyDescent="0.3">
      <c r="A794">
        <v>23256</v>
      </c>
      <c r="B794" t="s">
        <v>33</v>
      </c>
      <c r="C794" t="s">
        <v>35</v>
      </c>
      <c r="D794" s="2">
        <v>30000</v>
      </c>
      <c r="E794">
        <v>1</v>
      </c>
      <c r="F794" t="s">
        <v>27</v>
      </c>
      <c r="G794" t="s">
        <v>20</v>
      </c>
      <c r="H794" t="s">
        <v>18</v>
      </c>
      <c r="I794">
        <v>1</v>
      </c>
      <c r="J794" t="s">
        <v>23</v>
      </c>
      <c r="K794" t="s">
        <v>31</v>
      </c>
      <c r="L794">
        <v>52</v>
      </c>
      <c r="M794" t="str">
        <f t="shared" si="12"/>
        <v>Old</v>
      </c>
      <c r="N794" t="s">
        <v>18</v>
      </c>
    </row>
    <row r="795" spans="1:14" x14ac:dyDescent="0.3">
      <c r="A795">
        <v>12768</v>
      </c>
      <c r="B795" t="s">
        <v>32</v>
      </c>
      <c r="C795" t="s">
        <v>35</v>
      </c>
      <c r="D795" s="2">
        <v>30000</v>
      </c>
      <c r="E795">
        <v>1</v>
      </c>
      <c r="F795" t="s">
        <v>27</v>
      </c>
      <c r="G795" t="s">
        <v>20</v>
      </c>
      <c r="H795" t="s">
        <v>15</v>
      </c>
      <c r="I795">
        <v>1</v>
      </c>
      <c r="J795" t="s">
        <v>22</v>
      </c>
      <c r="K795" t="s">
        <v>31</v>
      </c>
      <c r="L795">
        <v>52</v>
      </c>
      <c r="M795" t="str">
        <f t="shared" si="12"/>
        <v>Old</v>
      </c>
      <c r="N795" t="s">
        <v>15</v>
      </c>
    </row>
    <row r="796" spans="1:14" x14ac:dyDescent="0.3">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2">
        <v>60000</v>
      </c>
      <c r="E797">
        <v>2</v>
      </c>
      <c r="F797" t="s">
        <v>27</v>
      </c>
      <c r="G797" t="s">
        <v>21</v>
      </c>
      <c r="H797" t="s">
        <v>15</v>
      </c>
      <c r="I797">
        <v>2</v>
      </c>
      <c r="J797" t="s">
        <v>23</v>
      </c>
      <c r="K797" t="s">
        <v>31</v>
      </c>
      <c r="L797">
        <v>51</v>
      </c>
      <c r="M797" t="str">
        <f t="shared" si="12"/>
        <v>Old</v>
      </c>
      <c r="N797" t="s">
        <v>18</v>
      </c>
    </row>
    <row r="798" spans="1:14" x14ac:dyDescent="0.3">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2">
        <v>60000</v>
      </c>
      <c r="E799">
        <v>0</v>
      </c>
      <c r="F799" t="s">
        <v>19</v>
      </c>
      <c r="G799" t="s">
        <v>14</v>
      </c>
      <c r="H799" t="s">
        <v>15</v>
      </c>
      <c r="I799">
        <v>1</v>
      </c>
      <c r="J799" t="s">
        <v>23</v>
      </c>
      <c r="K799" t="s">
        <v>31</v>
      </c>
      <c r="L799">
        <v>27</v>
      </c>
      <c r="M799" t="str">
        <f t="shared" si="12"/>
        <v>Juvenile</v>
      </c>
      <c r="N799" t="s">
        <v>15</v>
      </c>
    </row>
    <row r="800" spans="1:14" x14ac:dyDescent="0.3">
      <c r="A800">
        <v>22971</v>
      </c>
      <c r="B800" t="s">
        <v>33</v>
      </c>
      <c r="C800" t="s">
        <v>34</v>
      </c>
      <c r="D800" s="2">
        <v>30000</v>
      </c>
      <c r="E800">
        <v>0</v>
      </c>
      <c r="F800" t="s">
        <v>27</v>
      </c>
      <c r="G800" t="s">
        <v>14</v>
      </c>
      <c r="H800" t="s">
        <v>18</v>
      </c>
      <c r="I800">
        <v>2</v>
      </c>
      <c r="J800" t="s">
        <v>16</v>
      </c>
      <c r="K800" t="s">
        <v>31</v>
      </c>
      <c r="L800">
        <v>25</v>
      </c>
      <c r="M800" t="str">
        <f t="shared" si="12"/>
        <v>Juvenile</v>
      </c>
      <c r="N800" t="s">
        <v>15</v>
      </c>
    </row>
    <row r="801" spans="1:14" x14ac:dyDescent="0.3">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2">
        <v>40000</v>
      </c>
      <c r="E804">
        <v>0</v>
      </c>
      <c r="F804" t="s">
        <v>19</v>
      </c>
      <c r="G804" t="s">
        <v>14</v>
      </c>
      <c r="H804" t="s">
        <v>15</v>
      </c>
      <c r="I804">
        <v>1</v>
      </c>
      <c r="J804" t="s">
        <v>23</v>
      </c>
      <c r="K804" t="s">
        <v>31</v>
      </c>
      <c r="L804">
        <v>27</v>
      </c>
      <c r="M804" t="str">
        <f t="shared" si="12"/>
        <v>Juvenile</v>
      </c>
      <c r="N804" t="s">
        <v>18</v>
      </c>
    </row>
    <row r="805" spans="1:14" x14ac:dyDescent="0.3">
      <c r="A805">
        <v>15255</v>
      </c>
      <c r="B805" t="s">
        <v>32</v>
      </c>
      <c r="C805" t="s">
        <v>35</v>
      </c>
      <c r="D805" s="2">
        <v>40000</v>
      </c>
      <c r="E805">
        <v>0</v>
      </c>
      <c r="F805" t="s">
        <v>27</v>
      </c>
      <c r="G805" t="s">
        <v>14</v>
      </c>
      <c r="H805" t="s">
        <v>15</v>
      </c>
      <c r="I805">
        <v>2</v>
      </c>
      <c r="J805" t="s">
        <v>23</v>
      </c>
      <c r="K805" t="s">
        <v>31</v>
      </c>
      <c r="L805">
        <v>28</v>
      </c>
      <c r="M805" t="str">
        <f t="shared" si="12"/>
        <v>Juvenile</v>
      </c>
      <c r="N805" t="s">
        <v>15</v>
      </c>
    </row>
    <row r="806" spans="1:14" x14ac:dyDescent="0.3">
      <c r="A806">
        <v>13154</v>
      </c>
      <c r="B806" t="s">
        <v>32</v>
      </c>
      <c r="C806" t="s">
        <v>35</v>
      </c>
      <c r="D806" s="2">
        <v>40000</v>
      </c>
      <c r="E806">
        <v>0</v>
      </c>
      <c r="F806" t="s">
        <v>27</v>
      </c>
      <c r="G806" t="s">
        <v>14</v>
      </c>
      <c r="H806" t="s">
        <v>18</v>
      </c>
      <c r="I806">
        <v>2</v>
      </c>
      <c r="J806" t="s">
        <v>16</v>
      </c>
      <c r="K806" t="s">
        <v>31</v>
      </c>
      <c r="L806">
        <v>27</v>
      </c>
      <c r="M806" t="str">
        <f t="shared" si="12"/>
        <v>Juvenile</v>
      </c>
      <c r="N806" t="s">
        <v>15</v>
      </c>
    </row>
    <row r="807" spans="1:14" x14ac:dyDescent="0.3">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34</v>
      </c>
      <c r="D808" s="2">
        <v>10000</v>
      </c>
      <c r="E808">
        <v>2</v>
      </c>
      <c r="F808" t="s">
        <v>27</v>
      </c>
      <c r="G808" t="s">
        <v>25</v>
      </c>
      <c r="H808" t="s">
        <v>15</v>
      </c>
      <c r="I808">
        <v>2</v>
      </c>
      <c r="J808" t="s">
        <v>26</v>
      </c>
      <c r="K808" t="s">
        <v>31</v>
      </c>
      <c r="L808">
        <v>53</v>
      </c>
      <c r="M808" t="str">
        <f t="shared" si="12"/>
        <v>Old</v>
      </c>
      <c r="N808" t="s">
        <v>18</v>
      </c>
    </row>
    <row r="809" spans="1:14" x14ac:dyDescent="0.3">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35</v>
      </c>
      <c r="D810" s="2">
        <v>30000</v>
      </c>
      <c r="E810">
        <v>2</v>
      </c>
      <c r="F810" t="s">
        <v>27</v>
      </c>
      <c r="G810" t="s">
        <v>14</v>
      </c>
      <c r="H810" t="s">
        <v>15</v>
      </c>
      <c r="I810">
        <v>2</v>
      </c>
      <c r="J810" t="s">
        <v>26</v>
      </c>
      <c r="K810" t="s">
        <v>31</v>
      </c>
      <c r="L810">
        <v>50</v>
      </c>
      <c r="M810" t="str">
        <f t="shared" si="12"/>
        <v>Old</v>
      </c>
      <c r="N810" t="s">
        <v>15</v>
      </c>
    </row>
    <row r="811" spans="1:14" x14ac:dyDescent="0.3">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2">
        <v>70000</v>
      </c>
      <c r="E812">
        <v>3</v>
      </c>
      <c r="F812" t="s">
        <v>30</v>
      </c>
      <c r="G812" t="s">
        <v>28</v>
      </c>
      <c r="H812" t="s">
        <v>15</v>
      </c>
      <c r="I812">
        <v>2</v>
      </c>
      <c r="J812" t="s">
        <v>23</v>
      </c>
      <c r="K812" t="s">
        <v>31</v>
      </c>
      <c r="L812">
        <v>52</v>
      </c>
      <c r="M812" t="str">
        <f t="shared" si="12"/>
        <v>Old</v>
      </c>
      <c r="N812" t="s">
        <v>15</v>
      </c>
    </row>
    <row r="813" spans="1:14" x14ac:dyDescent="0.3">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34</v>
      </c>
      <c r="D814" s="2">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34</v>
      </c>
      <c r="D815" s="2">
        <v>70000</v>
      </c>
      <c r="E815">
        <v>2</v>
      </c>
      <c r="F815" t="s">
        <v>27</v>
      </c>
      <c r="G815" t="s">
        <v>21</v>
      </c>
      <c r="H815" t="s">
        <v>15</v>
      </c>
      <c r="I815">
        <v>2</v>
      </c>
      <c r="J815" t="s">
        <v>42</v>
      </c>
      <c r="K815" t="s">
        <v>31</v>
      </c>
      <c r="L815">
        <v>53</v>
      </c>
      <c r="M815" t="str">
        <f t="shared" si="12"/>
        <v>Old</v>
      </c>
      <c r="N815" t="s">
        <v>18</v>
      </c>
    </row>
    <row r="816" spans="1:14" x14ac:dyDescent="0.3">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2">
        <v>40000</v>
      </c>
      <c r="E817">
        <v>0</v>
      </c>
      <c r="F817" t="s">
        <v>19</v>
      </c>
      <c r="G817" t="s">
        <v>14</v>
      </c>
      <c r="H817" t="s">
        <v>18</v>
      </c>
      <c r="I817">
        <v>2</v>
      </c>
      <c r="J817" t="s">
        <v>26</v>
      </c>
      <c r="K817" t="s">
        <v>31</v>
      </c>
      <c r="L817">
        <v>30</v>
      </c>
      <c r="M817" t="str">
        <f t="shared" si="12"/>
        <v>Middle Age</v>
      </c>
      <c r="N817" t="s">
        <v>18</v>
      </c>
    </row>
    <row r="818" spans="1:14" x14ac:dyDescent="0.3">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35</v>
      </c>
      <c r="D820" s="2">
        <v>40000</v>
      </c>
      <c r="E820">
        <v>0</v>
      </c>
      <c r="F820" t="s">
        <v>19</v>
      </c>
      <c r="G820" t="s">
        <v>14</v>
      </c>
      <c r="H820" t="s">
        <v>15</v>
      </c>
      <c r="I820">
        <v>1</v>
      </c>
      <c r="J820" t="s">
        <v>23</v>
      </c>
      <c r="K820" t="s">
        <v>31</v>
      </c>
      <c r="L820">
        <v>30</v>
      </c>
      <c r="M820" t="str">
        <f t="shared" si="12"/>
        <v>Middle Age</v>
      </c>
      <c r="N820" t="s">
        <v>18</v>
      </c>
    </row>
    <row r="821" spans="1:14" x14ac:dyDescent="0.3">
      <c r="A821">
        <v>27505</v>
      </c>
      <c r="B821" t="s">
        <v>33</v>
      </c>
      <c r="C821" t="s">
        <v>34</v>
      </c>
      <c r="D821" s="2">
        <v>40000</v>
      </c>
      <c r="E821">
        <v>0</v>
      </c>
      <c r="F821" t="s">
        <v>27</v>
      </c>
      <c r="G821" t="s">
        <v>14</v>
      </c>
      <c r="H821" t="s">
        <v>15</v>
      </c>
      <c r="I821">
        <v>2</v>
      </c>
      <c r="J821" t="s">
        <v>23</v>
      </c>
      <c r="K821" t="s">
        <v>31</v>
      </c>
      <c r="L821">
        <v>30</v>
      </c>
      <c r="M821" t="str">
        <f t="shared" si="12"/>
        <v>Middle Age</v>
      </c>
      <c r="N821" t="s">
        <v>18</v>
      </c>
    </row>
    <row r="822" spans="1:14" x14ac:dyDescent="0.3">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34</v>
      </c>
      <c r="D825" s="2">
        <v>70000</v>
      </c>
      <c r="E825">
        <v>4</v>
      </c>
      <c r="F825" t="s">
        <v>27</v>
      </c>
      <c r="G825" t="s">
        <v>21</v>
      </c>
      <c r="H825" t="s">
        <v>15</v>
      </c>
      <c r="I825">
        <v>0</v>
      </c>
      <c r="J825" t="s">
        <v>23</v>
      </c>
      <c r="K825" t="s">
        <v>31</v>
      </c>
      <c r="L825">
        <v>50</v>
      </c>
      <c r="M825" t="str">
        <f t="shared" si="12"/>
        <v>Old</v>
      </c>
      <c r="N825" t="s">
        <v>15</v>
      </c>
    </row>
    <row r="826" spans="1:14" x14ac:dyDescent="0.3">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35</v>
      </c>
      <c r="D827" s="2">
        <v>70000</v>
      </c>
      <c r="E827">
        <v>3</v>
      </c>
      <c r="F827" t="s">
        <v>27</v>
      </c>
      <c r="G827" t="s">
        <v>21</v>
      </c>
      <c r="H827" t="s">
        <v>18</v>
      </c>
      <c r="I827">
        <v>1</v>
      </c>
      <c r="J827" t="s">
        <v>26</v>
      </c>
      <c r="K827" t="s">
        <v>31</v>
      </c>
      <c r="L827">
        <v>52</v>
      </c>
      <c r="M827" t="str">
        <f t="shared" si="12"/>
        <v>Old</v>
      </c>
      <c r="N827" t="s">
        <v>15</v>
      </c>
    </row>
    <row r="828" spans="1:14" x14ac:dyDescent="0.3">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34</v>
      </c>
      <c r="D830" s="2">
        <v>40000</v>
      </c>
      <c r="E830">
        <v>0</v>
      </c>
      <c r="F830" t="s">
        <v>29</v>
      </c>
      <c r="G830" t="s">
        <v>20</v>
      </c>
      <c r="H830" t="s">
        <v>15</v>
      </c>
      <c r="I830">
        <v>2</v>
      </c>
      <c r="J830" t="s">
        <v>23</v>
      </c>
      <c r="K830" t="s">
        <v>31</v>
      </c>
      <c r="L830">
        <v>26</v>
      </c>
      <c r="M830" t="str">
        <f t="shared" si="12"/>
        <v>Juvenile</v>
      </c>
      <c r="N830" t="s">
        <v>18</v>
      </c>
    </row>
    <row r="831" spans="1:14" x14ac:dyDescent="0.3">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2">
        <v>60000</v>
      </c>
      <c r="E832">
        <v>2</v>
      </c>
      <c r="F832" t="s">
        <v>27</v>
      </c>
      <c r="G832" t="s">
        <v>21</v>
      </c>
      <c r="H832" t="s">
        <v>18</v>
      </c>
      <c r="I832">
        <v>2</v>
      </c>
      <c r="J832" t="s">
        <v>23</v>
      </c>
      <c r="K832" t="s">
        <v>31</v>
      </c>
      <c r="L832">
        <v>51</v>
      </c>
      <c r="M832" t="str">
        <f t="shared" si="12"/>
        <v>Old</v>
      </c>
      <c r="N832" t="s">
        <v>18</v>
      </c>
    </row>
    <row r="833" spans="1:14" x14ac:dyDescent="0.3">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34</v>
      </c>
      <c r="D835" s="2">
        <v>70000</v>
      </c>
      <c r="E835">
        <v>0</v>
      </c>
      <c r="F835" t="s">
        <v>13</v>
      </c>
      <c r="G835" t="s">
        <v>21</v>
      </c>
      <c r="H835" t="s">
        <v>18</v>
      </c>
      <c r="I835">
        <v>1</v>
      </c>
      <c r="J835" t="s">
        <v>16</v>
      </c>
      <c r="K835" t="s">
        <v>31</v>
      </c>
      <c r="L835">
        <v>37</v>
      </c>
      <c r="M835" t="str">
        <f t="shared" ref="M835:M898" si="13">IF(L835&gt;=50,"Old",IF(L835&gt;=30,"Middle Age",IF(L835&lt;30,"Juvenile","Invalid")))</f>
        <v>Middle Age</v>
      </c>
      <c r="N835" t="s">
        <v>15</v>
      </c>
    </row>
    <row r="836" spans="1:14" x14ac:dyDescent="0.3">
      <c r="A836">
        <v>19889</v>
      </c>
      <c r="B836" t="s">
        <v>33</v>
      </c>
      <c r="C836" t="s">
        <v>34</v>
      </c>
      <c r="D836" s="2">
        <v>70000</v>
      </c>
      <c r="E836">
        <v>2</v>
      </c>
      <c r="F836" t="s">
        <v>29</v>
      </c>
      <c r="G836" t="s">
        <v>14</v>
      </c>
      <c r="H836" t="s">
        <v>18</v>
      </c>
      <c r="I836">
        <v>2</v>
      </c>
      <c r="J836" t="s">
        <v>22</v>
      </c>
      <c r="K836" t="s">
        <v>31</v>
      </c>
      <c r="L836">
        <v>54</v>
      </c>
      <c r="M836" t="str">
        <f t="shared" si="13"/>
        <v>Old</v>
      </c>
      <c r="N836" t="s">
        <v>15</v>
      </c>
    </row>
    <row r="837" spans="1:14" x14ac:dyDescent="0.3">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34</v>
      </c>
      <c r="D838" s="2">
        <v>40000</v>
      </c>
      <c r="E838">
        <v>0</v>
      </c>
      <c r="F838" t="s">
        <v>19</v>
      </c>
      <c r="G838" t="s">
        <v>14</v>
      </c>
      <c r="H838" t="s">
        <v>15</v>
      </c>
      <c r="I838">
        <v>2</v>
      </c>
      <c r="J838" t="s">
        <v>23</v>
      </c>
      <c r="K838" t="s">
        <v>31</v>
      </c>
      <c r="L838">
        <v>28</v>
      </c>
      <c r="M838" t="str">
        <f t="shared" si="13"/>
        <v>Juvenile</v>
      </c>
      <c r="N838" t="s">
        <v>18</v>
      </c>
    </row>
    <row r="839" spans="1:14" x14ac:dyDescent="0.3">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35</v>
      </c>
      <c r="D842" s="2">
        <v>70000</v>
      </c>
      <c r="E842">
        <v>4</v>
      </c>
      <c r="F842" t="s">
        <v>19</v>
      </c>
      <c r="G842" t="s">
        <v>21</v>
      </c>
      <c r="H842" t="s">
        <v>15</v>
      </c>
      <c r="I842">
        <v>2</v>
      </c>
      <c r="J842" t="s">
        <v>42</v>
      </c>
      <c r="K842" t="s">
        <v>31</v>
      </c>
      <c r="L842">
        <v>53</v>
      </c>
      <c r="M842" t="str">
        <f t="shared" si="13"/>
        <v>Old</v>
      </c>
      <c r="N842" t="s">
        <v>18</v>
      </c>
    </row>
    <row r="843" spans="1:14" x14ac:dyDescent="0.3">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35</v>
      </c>
      <c r="D845" s="2">
        <v>80000</v>
      </c>
      <c r="E845">
        <v>2</v>
      </c>
      <c r="F845" t="s">
        <v>29</v>
      </c>
      <c r="G845" t="s">
        <v>14</v>
      </c>
      <c r="H845" t="s">
        <v>18</v>
      </c>
      <c r="I845">
        <v>2</v>
      </c>
      <c r="J845" t="s">
        <v>26</v>
      </c>
      <c r="K845" t="s">
        <v>31</v>
      </c>
      <c r="L845">
        <v>52</v>
      </c>
      <c r="M845" t="str">
        <f t="shared" si="13"/>
        <v>Old</v>
      </c>
      <c r="N845" t="s">
        <v>18</v>
      </c>
    </row>
    <row r="846" spans="1:14" x14ac:dyDescent="0.3">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34</v>
      </c>
      <c r="D847" s="2">
        <v>20000</v>
      </c>
      <c r="E847">
        <v>3</v>
      </c>
      <c r="F847" t="s">
        <v>29</v>
      </c>
      <c r="G847" t="s">
        <v>20</v>
      </c>
      <c r="H847" t="s">
        <v>15</v>
      </c>
      <c r="I847">
        <v>2</v>
      </c>
      <c r="J847" t="s">
        <v>26</v>
      </c>
      <c r="K847" t="s">
        <v>31</v>
      </c>
      <c r="L847">
        <v>50</v>
      </c>
      <c r="M847" t="str">
        <f t="shared" si="13"/>
        <v>Old</v>
      </c>
      <c r="N847" t="s">
        <v>18</v>
      </c>
    </row>
    <row r="848" spans="1:14" x14ac:dyDescent="0.3">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2">
        <v>40000</v>
      </c>
      <c r="E849">
        <v>0</v>
      </c>
      <c r="F849" t="s">
        <v>29</v>
      </c>
      <c r="G849" t="s">
        <v>20</v>
      </c>
      <c r="H849" t="s">
        <v>15</v>
      </c>
      <c r="I849">
        <v>2</v>
      </c>
      <c r="J849" t="s">
        <v>23</v>
      </c>
      <c r="K849" t="s">
        <v>31</v>
      </c>
      <c r="L849">
        <v>29</v>
      </c>
      <c r="M849" t="str">
        <f t="shared" si="13"/>
        <v>Juvenile</v>
      </c>
      <c r="N849" t="s">
        <v>18</v>
      </c>
    </row>
    <row r="850" spans="1:14" x14ac:dyDescent="0.3">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35</v>
      </c>
      <c r="D858" s="2">
        <v>40000</v>
      </c>
      <c r="E858">
        <v>0</v>
      </c>
      <c r="F858" t="s">
        <v>19</v>
      </c>
      <c r="G858" t="s">
        <v>14</v>
      </c>
      <c r="H858" t="s">
        <v>15</v>
      </c>
      <c r="I858">
        <v>1</v>
      </c>
      <c r="J858" t="s">
        <v>23</v>
      </c>
      <c r="K858" t="s">
        <v>31</v>
      </c>
      <c r="L858">
        <v>27</v>
      </c>
      <c r="M858" t="str">
        <f t="shared" si="13"/>
        <v>Juvenile</v>
      </c>
      <c r="N858" t="s">
        <v>18</v>
      </c>
    </row>
    <row r="859" spans="1:14" x14ac:dyDescent="0.3">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34</v>
      </c>
      <c r="D863" s="2">
        <v>20000</v>
      </c>
      <c r="E863">
        <v>2</v>
      </c>
      <c r="F863" t="s">
        <v>27</v>
      </c>
      <c r="G863" t="s">
        <v>25</v>
      </c>
      <c r="H863" t="s">
        <v>18</v>
      </c>
      <c r="I863">
        <v>2</v>
      </c>
      <c r="J863" t="s">
        <v>26</v>
      </c>
      <c r="K863" t="s">
        <v>31</v>
      </c>
      <c r="L863">
        <v>53</v>
      </c>
      <c r="M863" t="str">
        <f t="shared" si="13"/>
        <v>Old</v>
      </c>
      <c r="N863" t="s">
        <v>15</v>
      </c>
    </row>
    <row r="864" spans="1:14" x14ac:dyDescent="0.3">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35</v>
      </c>
      <c r="D868" s="2">
        <v>60000</v>
      </c>
      <c r="E868">
        <v>2</v>
      </c>
      <c r="F868" t="s">
        <v>27</v>
      </c>
      <c r="G868" t="s">
        <v>21</v>
      </c>
      <c r="H868" t="s">
        <v>15</v>
      </c>
      <c r="I868">
        <v>2</v>
      </c>
      <c r="J868" t="s">
        <v>42</v>
      </c>
      <c r="K868" t="s">
        <v>31</v>
      </c>
      <c r="L868">
        <v>55</v>
      </c>
      <c r="M868" t="str">
        <f t="shared" si="13"/>
        <v>Old</v>
      </c>
      <c r="N868" t="s">
        <v>18</v>
      </c>
    </row>
    <row r="869" spans="1:14" x14ac:dyDescent="0.3">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35</v>
      </c>
      <c r="D870" s="2">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35</v>
      </c>
      <c r="D873" s="2">
        <v>60000</v>
      </c>
      <c r="E873">
        <v>2</v>
      </c>
      <c r="F873" t="s">
        <v>27</v>
      </c>
      <c r="G873" t="s">
        <v>21</v>
      </c>
      <c r="H873" t="s">
        <v>15</v>
      </c>
      <c r="I873">
        <v>2</v>
      </c>
      <c r="J873" t="s">
        <v>42</v>
      </c>
      <c r="K873" t="s">
        <v>31</v>
      </c>
      <c r="L873">
        <v>55</v>
      </c>
      <c r="M873" t="str">
        <f t="shared" si="13"/>
        <v>Old</v>
      </c>
      <c r="N873" t="s">
        <v>18</v>
      </c>
    </row>
    <row r="874" spans="1:14" x14ac:dyDescent="0.3">
      <c r="A874">
        <v>22118</v>
      </c>
      <c r="B874" t="s">
        <v>33</v>
      </c>
      <c r="C874" t="s">
        <v>34</v>
      </c>
      <c r="D874" s="2">
        <v>70000</v>
      </c>
      <c r="E874">
        <v>3</v>
      </c>
      <c r="F874" t="s">
        <v>30</v>
      </c>
      <c r="G874" t="s">
        <v>28</v>
      </c>
      <c r="H874" t="s">
        <v>15</v>
      </c>
      <c r="I874">
        <v>2</v>
      </c>
      <c r="J874" t="s">
        <v>23</v>
      </c>
      <c r="K874" t="s">
        <v>31</v>
      </c>
      <c r="L874">
        <v>53</v>
      </c>
      <c r="M874" t="str">
        <f t="shared" si="13"/>
        <v>Old</v>
      </c>
      <c r="N874" t="s">
        <v>15</v>
      </c>
    </row>
    <row r="875" spans="1:14" x14ac:dyDescent="0.3">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34</v>
      </c>
      <c r="D876" s="2">
        <v>30000</v>
      </c>
      <c r="E876">
        <v>1</v>
      </c>
      <c r="F876" t="s">
        <v>13</v>
      </c>
      <c r="G876" t="s">
        <v>14</v>
      </c>
      <c r="H876" t="s">
        <v>15</v>
      </c>
      <c r="I876">
        <v>1</v>
      </c>
      <c r="J876" t="s">
        <v>23</v>
      </c>
      <c r="K876" t="s">
        <v>31</v>
      </c>
      <c r="L876">
        <v>53</v>
      </c>
      <c r="M876" t="str">
        <f t="shared" si="13"/>
        <v>Old</v>
      </c>
      <c r="N876" t="s">
        <v>15</v>
      </c>
    </row>
    <row r="877" spans="1:14" x14ac:dyDescent="0.3">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35</v>
      </c>
      <c r="D878" s="2">
        <v>30000</v>
      </c>
      <c r="E878">
        <v>0</v>
      </c>
      <c r="F878" t="s">
        <v>29</v>
      </c>
      <c r="G878" t="s">
        <v>20</v>
      </c>
      <c r="H878" t="s">
        <v>18</v>
      </c>
      <c r="I878">
        <v>2</v>
      </c>
      <c r="J878" t="s">
        <v>16</v>
      </c>
      <c r="K878" t="s">
        <v>31</v>
      </c>
      <c r="L878">
        <v>26</v>
      </c>
      <c r="M878" t="str">
        <f t="shared" si="13"/>
        <v>Juvenile</v>
      </c>
      <c r="N878" t="s">
        <v>18</v>
      </c>
    </row>
    <row r="879" spans="1:14" x14ac:dyDescent="0.3">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35</v>
      </c>
      <c r="D899" s="2">
        <v>30000</v>
      </c>
      <c r="E899">
        <v>0</v>
      </c>
      <c r="F899" t="s">
        <v>29</v>
      </c>
      <c r="G899" t="s">
        <v>20</v>
      </c>
      <c r="H899" t="s">
        <v>18</v>
      </c>
      <c r="I899">
        <v>2</v>
      </c>
      <c r="J899" t="s">
        <v>16</v>
      </c>
      <c r="K899" t="s">
        <v>31</v>
      </c>
      <c r="L899">
        <v>28</v>
      </c>
      <c r="M899" t="str">
        <f t="shared" ref="M899:M962" si="14">IF(L899&gt;=50,"Old",IF(L899&gt;=30,"Middle Age",IF(L899&lt;30,"Juvenile","Invalid")))</f>
        <v>Juvenile</v>
      </c>
      <c r="N899" t="s">
        <v>18</v>
      </c>
    </row>
    <row r="900" spans="1:14" x14ac:dyDescent="0.3">
      <c r="A900">
        <v>18066</v>
      </c>
      <c r="B900" t="s">
        <v>33</v>
      </c>
      <c r="C900" t="s">
        <v>35</v>
      </c>
      <c r="D900" s="2">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34</v>
      </c>
      <c r="D901" s="2">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35</v>
      </c>
      <c r="D909" s="2">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35</v>
      </c>
      <c r="D917" s="2">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34</v>
      </c>
      <c r="D921" s="2">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35</v>
      </c>
      <c r="D922" s="2">
        <v>30000</v>
      </c>
      <c r="E922">
        <v>2</v>
      </c>
      <c r="F922" t="s">
        <v>27</v>
      </c>
      <c r="G922" t="s">
        <v>14</v>
      </c>
      <c r="H922" t="s">
        <v>15</v>
      </c>
      <c r="I922">
        <v>2</v>
      </c>
      <c r="J922" t="s">
        <v>26</v>
      </c>
      <c r="K922" t="s">
        <v>31</v>
      </c>
      <c r="L922">
        <v>51</v>
      </c>
      <c r="M922" t="str">
        <f t="shared" si="14"/>
        <v>Old</v>
      </c>
      <c r="N922" t="s">
        <v>18</v>
      </c>
    </row>
    <row r="923" spans="1:14" x14ac:dyDescent="0.3">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34</v>
      </c>
      <c r="D924" s="2">
        <v>40000</v>
      </c>
      <c r="E924">
        <v>3</v>
      </c>
      <c r="F924" t="s">
        <v>19</v>
      </c>
      <c r="G924" t="s">
        <v>21</v>
      </c>
      <c r="H924" t="s">
        <v>18</v>
      </c>
      <c r="I924">
        <v>2</v>
      </c>
      <c r="J924" t="s">
        <v>26</v>
      </c>
      <c r="K924" t="s">
        <v>31</v>
      </c>
      <c r="L924">
        <v>54</v>
      </c>
      <c r="M924" t="str">
        <f t="shared" si="14"/>
        <v>Old</v>
      </c>
      <c r="N924" t="s">
        <v>15</v>
      </c>
    </row>
    <row r="925" spans="1:14" x14ac:dyDescent="0.3">
      <c r="A925">
        <v>26728</v>
      </c>
      <c r="B925" t="s">
        <v>33</v>
      </c>
      <c r="C925" t="s">
        <v>35</v>
      </c>
      <c r="D925" s="2">
        <v>70000</v>
      </c>
      <c r="E925">
        <v>3</v>
      </c>
      <c r="F925" t="s">
        <v>30</v>
      </c>
      <c r="G925" t="s">
        <v>28</v>
      </c>
      <c r="H925" t="s">
        <v>18</v>
      </c>
      <c r="I925">
        <v>2</v>
      </c>
      <c r="J925" t="s">
        <v>26</v>
      </c>
      <c r="K925" t="s">
        <v>31</v>
      </c>
      <c r="L925">
        <v>53</v>
      </c>
      <c r="M925" t="str">
        <f t="shared" si="14"/>
        <v>Old</v>
      </c>
      <c r="N925" t="s">
        <v>15</v>
      </c>
    </row>
    <row r="926" spans="1:14" x14ac:dyDescent="0.3">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34</v>
      </c>
      <c r="D928" s="2">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35</v>
      </c>
      <c r="D931" s="2">
        <v>60000</v>
      </c>
      <c r="E931">
        <v>2</v>
      </c>
      <c r="F931" t="s">
        <v>27</v>
      </c>
      <c r="G931" t="s">
        <v>21</v>
      </c>
      <c r="H931" t="s">
        <v>15</v>
      </c>
      <c r="I931">
        <v>2</v>
      </c>
      <c r="J931" t="s">
        <v>23</v>
      </c>
      <c r="K931" t="s">
        <v>31</v>
      </c>
      <c r="L931">
        <v>50</v>
      </c>
      <c r="M931" t="str">
        <f t="shared" si="14"/>
        <v>Old</v>
      </c>
      <c r="N931" t="s">
        <v>18</v>
      </c>
    </row>
    <row r="932" spans="1:14" x14ac:dyDescent="0.3">
      <c r="A932">
        <v>19543</v>
      </c>
      <c r="B932" t="s">
        <v>32</v>
      </c>
      <c r="C932" t="s">
        <v>35</v>
      </c>
      <c r="D932" s="2">
        <v>70000</v>
      </c>
      <c r="E932">
        <v>5</v>
      </c>
      <c r="F932" t="s">
        <v>30</v>
      </c>
      <c r="G932" t="s">
        <v>21</v>
      </c>
      <c r="H932" t="s">
        <v>18</v>
      </c>
      <c r="I932">
        <v>3</v>
      </c>
      <c r="J932" t="s">
        <v>42</v>
      </c>
      <c r="K932" t="s">
        <v>31</v>
      </c>
      <c r="L932">
        <v>47</v>
      </c>
      <c r="M932" t="str">
        <f t="shared" si="14"/>
        <v>Middle Age</v>
      </c>
      <c r="N932" t="s">
        <v>18</v>
      </c>
    </row>
    <row r="933" spans="1:14" x14ac:dyDescent="0.3">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34</v>
      </c>
      <c r="D934" s="2">
        <v>40000</v>
      </c>
      <c r="E934">
        <v>0</v>
      </c>
      <c r="F934" t="s">
        <v>27</v>
      </c>
      <c r="G934" t="s">
        <v>14</v>
      </c>
      <c r="H934" t="s">
        <v>18</v>
      </c>
      <c r="I934">
        <v>2</v>
      </c>
      <c r="J934" t="s">
        <v>16</v>
      </c>
      <c r="K934" t="s">
        <v>31</v>
      </c>
      <c r="L934">
        <v>27</v>
      </c>
      <c r="M934" t="str">
        <f t="shared" si="14"/>
        <v>Juvenile</v>
      </c>
      <c r="N934" t="s">
        <v>15</v>
      </c>
    </row>
    <row r="935" spans="1:14" x14ac:dyDescent="0.3">
      <c r="A935">
        <v>11941</v>
      </c>
      <c r="B935" t="s">
        <v>33</v>
      </c>
      <c r="C935" t="s">
        <v>35</v>
      </c>
      <c r="D935" s="2">
        <v>60000</v>
      </c>
      <c r="E935">
        <v>0</v>
      </c>
      <c r="F935" t="s">
        <v>19</v>
      </c>
      <c r="G935" t="s">
        <v>14</v>
      </c>
      <c r="H935" t="s">
        <v>15</v>
      </c>
      <c r="I935">
        <v>0</v>
      </c>
      <c r="J935" t="s">
        <v>23</v>
      </c>
      <c r="K935" t="s">
        <v>31</v>
      </c>
      <c r="L935">
        <v>29</v>
      </c>
      <c r="M935" t="str">
        <f t="shared" si="14"/>
        <v>Juvenile</v>
      </c>
      <c r="N935" t="s">
        <v>18</v>
      </c>
    </row>
    <row r="936" spans="1:14" x14ac:dyDescent="0.3">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34</v>
      </c>
      <c r="D940" s="2">
        <v>40000</v>
      </c>
      <c r="E940">
        <v>0</v>
      </c>
      <c r="F940" t="s">
        <v>27</v>
      </c>
      <c r="G940" t="s">
        <v>14</v>
      </c>
      <c r="H940" t="s">
        <v>15</v>
      </c>
      <c r="I940">
        <v>2</v>
      </c>
      <c r="J940" t="s">
        <v>23</v>
      </c>
      <c r="K940" t="s">
        <v>31</v>
      </c>
      <c r="L940">
        <v>27</v>
      </c>
      <c r="M940" t="str">
        <f t="shared" si="14"/>
        <v>Juvenile</v>
      </c>
      <c r="N940" t="s">
        <v>18</v>
      </c>
    </row>
    <row r="941" spans="1:14" x14ac:dyDescent="0.3">
      <c r="A941">
        <v>23455</v>
      </c>
      <c r="B941" t="s">
        <v>33</v>
      </c>
      <c r="C941" t="s">
        <v>35</v>
      </c>
      <c r="D941" s="2">
        <v>80000</v>
      </c>
      <c r="E941">
        <v>2</v>
      </c>
      <c r="F941" t="s">
        <v>29</v>
      </c>
      <c r="G941" t="s">
        <v>14</v>
      </c>
      <c r="H941" t="s">
        <v>18</v>
      </c>
      <c r="I941">
        <v>2</v>
      </c>
      <c r="J941" t="s">
        <v>26</v>
      </c>
      <c r="K941" t="s">
        <v>31</v>
      </c>
      <c r="L941">
        <v>50</v>
      </c>
      <c r="M941" t="str">
        <f t="shared" si="14"/>
        <v>Old</v>
      </c>
      <c r="N941" t="s">
        <v>18</v>
      </c>
    </row>
    <row r="942" spans="1:14" x14ac:dyDescent="0.3">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34</v>
      </c>
      <c r="D944" s="2">
        <v>40000</v>
      </c>
      <c r="E944">
        <v>3</v>
      </c>
      <c r="F944" t="s">
        <v>19</v>
      </c>
      <c r="G944" t="s">
        <v>21</v>
      </c>
      <c r="H944" t="s">
        <v>15</v>
      </c>
      <c r="I944">
        <v>2</v>
      </c>
      <c r="J944" t="s">
        <v>23</v>
      </c>
      <c r="K944" t="s">
        <v>31</v>
      </c>
      <c r="L944">
        <v>54</v>
      </c>
      <c r="M944" t="str">
        <f t="shared" si="14"/>
        <v>Old</v>
      </c>
      <c r="N944" t="s">
        <v>18</v>
      </c>
    </row>
    <row r="945" spans="1:14" x14ac:dyDescent="0.3">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35</v>
      </c>
      <c r="D951" s="2">
        <v>70000</v>
      </c>
      <c r="E951">
        <v>2</v>
      </c>
      <c r="F951" t="s">
        <v>29</v>
      </c>
      <c r="G951" t="s">
        <v>14</v>
      </c>
      <c r="H951" t="s">
        <v>15</v>
      </c>
      <c r="I951">
        <v>2</v>
      </c>
      <c r="J951" t="s">
        <v>42</v>
      </c>
      <c r="K951" t="s">
        <v>31</v>
      </c>
      <c r="L951">
        <v>53</v>
      </c>
      <c r="M951" t="str">
        <f t="shared" si="14"/>
        <v>Old</v>
      </c>
      <c r="N951" t="s">
        <v>18</v>
      </c>
    </row>
    <row r="952" spans="1:14" x14ac:dyDescent="0.3">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2">
        <v>40000</v>
      </c>
      <c r="E955">
        <v>3</v>
      </c>
      <c r="F955" t="s">
        <v>19</v>
      </c>
      <c r="G955" t="s">
        <v>20</v>
      </c>
      <c r="H955" t="s">
        <v>15</v>
      </c>
      <c r="I955">
        <v>1</v>
      </c>
      <c r="J955" t="s">
        <v>26</v>
      </c>
      <c r="K955" t="s">
        <v>31</v>
      </c>
      <c r="L955">
        <v>30</v>
      </c>
      <c r="M955" t="str">
        <f t="shared" si="14"/>
        <v>Middle Age</v>
      </c>
      <c r="N955" t="s">
        <v>15</v>
      </c>
    </row>
    <row r="956" spans="1:14" x14ac:dyDescent="0.3">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34</v>
      </c>
      <c r="D959" s="2">
        <v>60000</v>
      </c>
      <c r="E959">
        <v>0</v>
      </c>
      <c r="F959" t="s">
        <v>19</v>
      </c>
      <c r="G959" t="s">
        <v>21</v>
      </c>
      <c r="H959" t="s">
        <v>15</v>
      </c>
      <c r="I959">
        <v>2</v>
      </c>
      <c r="J959" t="s">
        <v>23</v>
      </c>
      <c r="K959" t="s">
        <v>31</v>
      </c>
      <c r="L959">
        <v>30</v>
      </c>
      <c r="M959" t="str">
        <f t="shared" si="14"/>
        <v>Middle Age</v>
      </c>
      <c r="N959" t="s">
        <v>18</v>
      </c>
    </row>
    <row r="960" spans="1:14" x14ac:dyDescent="0.3">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34</v>
      </c>
      <c r="D963" s="2">
        <v>120000</v>
      </c>
      <c r="E963">
        <v>2</v>
      </c>
      <c r="F963" t="s">
        <v>13</v>
      </c>
      <c r="G963" t="s">
        <v>28</v>
      </c>
      <c r="H963" t="s">
        <v>15</v>
      </c>
      <c r="I963">
        <v>3</v>
      </c>
      <c r="J963" t="s">
        <v>23</v>
      </c>
      <c r="K963" t="s">
        <v>31</v>
      </c>
      <c r="L963">
        <v>62</v>
      </c>
      <c r="M963" t="str">
        <f t="shared" ref="M963:M1001" si="15">IF(L963&gt;=50,"Old",IF(L963&gt;=30,"Middle Age",IF(L963&lt;30,"Juvenile","Invalid")))</f>
        <v>Old</v>
      </c>
      <c r="N963" t="s">
        <v>18</v>
      </c>
    </row>
    <row r="964" spans="1:14" x14ac:dyDescent="0.3">
      <c r="A964">
        <v>16813</v>
      </c>
      <c r="B964" t="s">
        <v>32</v>
      </c>
      <c r="C964" t="s">
        <v>35</v>
      </c>
      <c r="D964" s="2">
        <v>60000</v>
      </c>
      <c r="E964">
        <v>2</v>
      </c>
      <c r="F964" t="s">
        <v>19</v>
      </c>
      <c r="G964" t="s">
        <v>21</v>
      </c>
      <c r="H964" t="s">
        <v>15</v>
      </c>
      <c r="I964">
        <v>2</v>
      </c>
      <c r="J964" t="s">
        <v>42</v>
      </c>
      <c r="K964" t="s">
        <v>31</v>
      </c>
      <c r="L964">
        <v>55</v>
      </c>
      <c r="M964" t="str">
        <f t="shared" si="15"/>
        <v>Old</v>
      </c>
      <c r="N964" t="s">
        <v>18</v>
      </c>
    </row>
    <row r="965" spans="1:14" x14ac:dyDescent="0.3">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2">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2">
        <v>30000</v>
      </c>
      <c r="E970">
        <v>0</v>
      </c>
      <c r="F970" t="s">
        <v>29</v>
      </c>
      <c r="G970" t="s">
        <v>20</v>
      </c>
      <c r="H970" t="s">
        <v>18</v>
      </c>
      <c r="I970">
        <v>2</v>
      </c>
      <c r="J970" t="s">
        <v>23</v>
      </c>
      <c r="K970" t="s">
        <v>31</v>
      </c>
      <c r="L970">
        <v>27</v>
      </c>
      <c r="M970" t="str">
        <f t="shared" si="15"/>
        <v>Juvenile</v>
      </c>
      <c r="N970" t="s">
        <v>18</v>
      </c>
    </row>
    <row r="971" spans="1:14" x14ac:dyDescent="0.3">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34</v>
      </c>
      <c r="D973" s="2">
        <v>60000</v>
      </c>
      <c r="E973">
        <v>2</v>
      </c>
      <c r="F973" t="s">
        <v>29</v>
      </c>
      <c r="G973" t="s">
        <v>14</v>
      </c>
      <c r="H973" t="s">
        <v>18</v>
      </c>
      <c r="I973">
        <v>2</v>
      </c>
      <c r="J973" t="s">
        <v>26</v>
      </c>
      <c r="K973" t="s">
        <v>31</v>
      </c>
      <c r="L973">
        <v>51</v>
      </c>
      <c r="M973" t="str">
        <f t="shared" si="15"/>
        <v>Old</v>
      </c>
      <c r="N973" t="s">
        <v>18</v>
      </c>
    </row>
    <row r="974" spans="1:14" x14ac:dyDescent="0.3">
      <c r="A974">
        <v>14887</v>
      </c>
      <c r="B974" t="s">
        <v>32</v>
      </c>
      <c r="C974" t="s">
        <v>34</v>
      </c>
      <c r="D974" s="2">
        <v>30000</v>
      </c>
      <c r="E974">
        <v>1</v>
      </c>
      <c r="F974" t="s">
        <v>27</v>
      </c>
      <c r="G974" t="s">
        <v>20</v>
      </c>
      <c r="H974" t="s">
        <v>15</v>
      </c>
      <c r="I974">
        <v>1</v>
      </c>
      <c r="J974" t="s">
        <v>23</v>
      </c>
      <c r="K974" t="s">
        <v>31</v>
      </c>
      <c r="L974">
        <v>52</v>
      </c>
      <c r="M974" t="str">
        <f t="shared" si="15"/>
        <v>Old</v>
      </c>
      <c r="N974" t="s">
        <v>18</v>
      </c>
    </row>
    <row r="975" spans="1:14" x14ac:dyDescent="0.3">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35</v>
      </c>
      <c r="D976" s="2">
        <v>70000</v>
      </c>
      <c r="E976">
        <v>3</v>
      </c>
      <c r="F976" t="s">
        <v>30</v>
      </c>
      <c r="G976" t="s">
        <v>28</v>
      </c>
      <c r="H976" t="s">
        <v>15</v>
      </c>
      <c r="I976">
        <v>2</v>
      </c>
      <c r="J976" t="s">
        <v>23</v>
      </c>
      <c r="K976" t="s">
        <v>31</v>
      </c>
      <c r="L976">
        <v>53</v>
      </c>
      <c r="M976" t="str">
        <f t="shared" si="15"/>
        <v>Old</v>
      </c>
      <c r="N976" t="s">
        <v>15</v>
      </c>
    </row>
    <row r="977" spans="1:14" x14ac:dyDescent="0.3">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34</v>
      </c>
      <c r="D978" s="2">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34</v>
      </c>
      <c r="D982" s="2">
        <v>80000</v>
      </c>
      <c r="E982">
        <v>3</v>
      </c>
      <c r="F982" t="s">
        <v>13</v>
      </c>
      <c r="G982" t="s">
        <v>14</v>
      </c>
      <c r="H982" t="s">
        <v>15</v>
      </c>
      <c r="I982">
        <v>3</v>
      </c>
      <c r="J982" t="s">
        <v>42</v>
      </c>
      <c r="K982" t="s">
        <v>31</v>
      </c>
      <c r="L982">
        <v>40</v>
      </c>
      <c r="M982" t="str">
        <f t="shared" si="15"/>
        <v>Middle Age</v>
      </c>
      <c r="N982" t="s">
        <v>15</v>
      </c>
    </row>
    <row r="983" spans="1:14" x14ac:dyDescent="0.3">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35</v>
      </c>
      <c r="D988" s="2">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34</v>
      </c>
      <c r="D989" s="2">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35</v>
      </c>
      <c r="D990" s="2">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35</v>
      </c>
      <c r="D991" s="2">
        <v>60000</v>
      </c>
      <c r="E991">
        <v>4</v>
      </c>
      <c r="F991" t="s">
        <v>13</v>
      </c>
      <c r="G991" t="s">
        <v>14</v>
      </c>
      <c r="H991" t="s">
        <v>18</v>
      </c>
      <c r="I991">
        <v>3</v>
      </c>
      <c r="J991" t="s">
        <v>42</v>
      </c>
      <c r="K991" t="s">
        <v>31</v>
      </c>
      <c r="L991">
        <v>42</v>
      </c>
      <c r="M991" t="str">
        <f t="shared" si="15"/>
        <v>Middle Age</v>
      </c>
      <c r="N991" t="s">
        <v>18</v>
      </c>
    </row>
    <row r="992" spans="1:14" x14ac:dyDescent="0.3">
      <c r="A992">
        <v>14332</v>
      </c>
      <c r="B992" t="s">
        <v>33</v>
      </c>
      <c r="C992" t="s">
        <v>34</v>
      </c>
      <c r="D992" s="2">
        <v>30000</v>
      </c>
      <c r="E992">
        <v>0</v>
      </c>
      <c r="F992" t="s">
        <v>27</v>
      </c>
      <c r="G992" t="s">
        <v>14</v>
      </c>
      <c r="H992" t="s">
        <v>18</v>
      </c>
      <c r="I992">
        <v>2</v>
      </c>
      <c r="J992" t="s">
        <v>23</v>
      </c>
      <c r="K992" t="s">
        <v>31</v>
      </c>
      <c r="L992">
        <v>26</v>
      </c>
      <c r="M992" t="str">
        <f t="shared" si="15"/>
        <v>Juvenile</v>
      </c>
      <c r="N992" t="s">
        <v>18</v>
      </c>
    </row>
    <row r="993" spans="1:14" x14ac:dyDescent="0.3">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35</v>
      </c>
      <c r="D997" s="2">
        <v>60000</v>
      </c>
      <c r="E997" s="1">
        <v>2</v>
      </c>
      <c r="F997" t="s">
        <v>27</v>
      </c>
      <c r="G997" t="s">
        <v>21</v>
      </c>
      <c r="H997" t="s">
        <v>15</v>
      </c>
      <c r="I997">
        <v>2</v>
      </c>
      <c r="J997" t="s">
        <v>22</v>
      </c>
      <c r="K997" t="s">
        <v>31</v>
      </c>
      <c r="L997">
        <v>54</v>
      </c>
      <c r="M997" t="str">
        <f t="shared" si="15"/>
        <v>Old</v>
      </c>
      <c r="N997" t="s">
        <v>15</v>
      </c>
    </row>
    <row r="998" spans="1:14" x14ac:dyDescent="0.3">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35</v>
      </c>
      <c r="D1000" s="2">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35</v>
      </c>
      <c r="D1001" s="2">
        <v>60000</v>
      </c>
      <c r="E1001">
        <v>3</v>
      </c>
      <c r="F1001" t="s">
        <v>27</v>
      </c>
      <c r="G1001" t="s">
        <v>21</v>
      </c>
      <c r="H1001" t="s">
        <v>15</v>
      </c>
      <c r="I1001">
        <v>2</v>
      </c>
      <c r="J1001" t="s">
        <v>42</v>
      </c>
      <c r="K1001" t="s">
        <v>31</v>
      </c>
      <c r="L1001">
        <v>53</v>
      </c>
      <c r="M1001" t="str">
        <f t="shared" si="15"/>
        <v>Old</v>
      </c>
      <c r="N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E8A1B-334B-4C68-B521-4389A0F20BC8}">
  <dimension ref="A3:D131"/>
  <sheetViews>
    <sheetView topLeftCell="A98" workbookViewId="0">
      <selection activeCell="O114" sqref="O114"/>
    </sheetView>
  </sheetViews>
  <sheetFormatPr defaultRowHeight="14.4" x14ac:dyDescent="0.3"/>
  <cols>
    <col min="1" max="1" width="12.5546875" bestFit="1" customWidth="1"/>
    <col min="2" max="2" width="12" bestFit="1" customWidth="1"/>
    <col min="3" max="3" width="15" bestFit="1" customWidth="1"/>
    <col min="4" max="4" width="10.77734375" bestFit="1" customWidth="1"/>
  </cols>
  <sheetData>
    <row r="3" spans="1:4" x14ac:dyDescent="0.3">
      <c r="A3" s="3" t="s">
        <v>40</v>
      </c>
      <c r="B3" s="3" t="s">
        <v>37</v>
      </c>
    </row>
    <row r="4" spans="1:4" x14ac:dyDescent="0.3">
      <c r="A4" s="3" t="s">
        <v>39</v>
      </c>
      <c r="B4" t="s">
        <v>18</v>
      </c>
      <c r="C4" t="s">
        <v>15</v>
      </c>
      <c r="D4" t="s">
        <v>38</v>
      </c>
    </row>
    <row r="5" spans="1:4" x14ac:dyDescent="0.3">
      <c r="A5" s="4" t="s">
        <v>34</v>
      </c>
      <c r="B5" s="2">
        <v>53440</v>
      </c>
      <c r="C5" s="2">
        <v>55774.058577405856</v>
      </c>
      <c r="D5" s="2">
        <v>54580.777096114522</v>
      </c>
    </row>
    <row r="6" spans="1:4" x14ac:dyDescent="0.3">
      <c r="A6" s="4" t="s">
        <v>35</v>
      </c>
      <c r="B6" s="2">
        <v>56208.178438661707</v>
      </c>
      <c r="C6" s="2">
        <v>60123.966942148763</v>
      </c>
      <c r="D6" s="2">
        <v>58062.62230919765</v>
      </c>
    </row>
    <row r="7" spans="1:4" x14ac:dyDescent="0.3">
      <c r="A7" s="4" t="s">
        <v>38</v>
      </c>
      <c r="B7" s="2">
        <v>54874.759152215796</v>
      </c>
      <c r="C7" s="2">
        <v>57962.577962577961</v>
      </c>
      <c r="D7" s="2">
        <v>56360</v>
      </c>
    </row>
    <row r="29" spans="1:4" x14ac:dyDescent="0.3">
      <c r="A29" s="3" t="s">
        <v>41</v>
      </c>
      <c r="B29" s="3" t="s">
        <v>37</v>
      </c>
    </row>
    <row r="30" spans="1:4" x14ac:dyDescent="0.3">
      <c r="A30" s="3" t="s">
        <v>39</v>
      </c>
      <c r="B30" t="s">
        <v>18</v>
      </c>
      <c r="C30" t="s">
        <v>15</v>
      </c>
      <c r="D30" t="s">
        <v>38</v>
      </c>
    </row>
    <row r="31" spans="1:4" x14ac:dyDescent="0.3">
      <c r="A31" s="4" t="s">
        <v>16</v>
      </c>
      <c r="B31" s="10">
        <v>166</v>
      </c>
      <c r="C31" s="10">
        <v>200</v>
      </c>
      <c r="D31" s="10">
        <v>366</v>
      </c>
    </row>
    <row r="32" spans="1:4" x14ac:dyDescent="0.3">
      <c r="A32" s="4" t="s">
        <v>26</v>
      </c>
      <c r="B32" s="10">
        <v>92</v>
      </c>
      <c r="C32" s="10">
        <v>77</v>
      </c>
      <c r="D32" s="10">
        <v>169</v>
      </c>
    </row>
    <row r="33" spans="1:4" x14ac:dyDescent="0.3">
      <c r="A33" s="4" t="s">
        <v>22</v>
      </c>
      <c r="B33" s="10">
        <v>67</v>
      </c>
      <c r="C33" s="10">
        <v>95</v>
      </c>
      <c r="D33" s="10">
        <v>162</v>
      </c>
    </row>
    <row r="34" spans="1:4" x14ac:dyDescent="0.3">
      <c r="A34" s="4" t="s">
        <v>23</v>
      </c>
      <c r="B34" s="10">
        <v>116</v>
      </c>
      <c r="C34" s="10">
        <v>76</v>
      </c>
      <c r="D34" s="10">
        <v>192</v>
      </c>
    </row>
    <row r="35" spans="1:4" x14ac:dyDescent="0.3">
      <c r="A35" s="4" t="s">
        <v>42</v>
      </c>
      <c r="B35" s="10">
        <v>78</v>
      </c>
      <c r="C35" s="10">
        <v>33</v>
      </c>
      <c r="D35" s="10">
        <v>111</v>
      </c>
    </row>
    <row r="36" spans="1:4" x14ac:dyDescent="0.3">
      <c r="A36" s="4" t="s">
        <v>38</v>
      </c>
      <c r="B36" s="10">
        <v>519</v>
      </c>
      <c r="C36" s="10">
        <v>481</v>
      </c>
      <c r="D36" s="10">
        <v>1000</v>
      </c>
    </row>
    <row r="46" spans="1:4" x14ac:dyDescent="0.3">
      <c r="A46" s="3" t="s">
        <v>41</v>
      </c>
      <c r="B46" s="3" t="s">
        <v>37</v>
      </c>
    </row>
    <row r="47" spans="1:4" x14ac:dyDescent="0.3">
      <c r="A47" s="3" t="s">
        <v>39</v>
      </c>
      <c r="B47" t="s">
        <v>18</v>
      </c>
      <c r="C47" t="s">
        <v>15</v>
      </c>
      <c r="D47" t="s">
        <v>38</v>
      </c>
    </row>
    <row r="48" spans="1:4" x14ac:dyDescent="0.3">
      <c r="A48" s="4" t="s">
        <v>45</v>
      </c>
      <c r="B48" s="10">
        <v>48</v>
      </c>
      <c r="C48" s="10">
        <v>35</v>
      </c>
      <c r="D48" s="10">
        <v>83</v>
      </c>
    </row>
    <row r="49" spans="1:4" x14ac:dyDescent="0.3">
      <c r="A49" s="4" t="s">
        <v>43</v>
      </c>
      <c r="B49" s="10">
        <v>293</v>
      </c>
      <c r="C49" s="10">
        <v>324</v>
      </c>
      <c r="D49" s="10">
        <v>617</v>
      </c>
    </row>
    <row r="50" spans="1:4" x14ac:dyDescent="0.3">
      <c r="A50" s="4" t="s">
        <v>44</v>
      </c>
      <c r="B50" s="10">
        <v>178</v>
      </c>
      <c r="C50" s="10">
        <v>122</v>
      </c>
      <c r="D50" s="10">
        <v>300</v>
      </c>
    </row>
    <row r="51" spans="1:4" x14ac:dyDescent="0.3">
      <c r="A51" s="4" t="s">
        <v>38</v>
      </c>
      <c r="B51" s="10">
        <v>519</v>
      </c>
      <c r="C51" s="10">
        <v>481</v>
      </c>
      <c r="D51" s="10">
        <v>1000</v>
      </c>
    </row>
    <row r="61" spans="1:4" x14ac:dyDescent="0.3">
      <c r="A61" s="9" t="s">
        <v>47</v>
      </c>
      <c r="B61" s="9"/>
    </row>
    <row r="62" spans="1:4" x14ac:dyDescent="0.3">
      <c r="A62">
        <f>COUNTIF(bike_buyers!N:N,"Yes")</f>
        <v>481</v>
      </c>
    </row>
    <row r="64" spans="1:4" x14ac:dyDescent="0.3">
      <c r="A64" s="9" t="s">
        <v>48</v>
      </c>
      <c r="B64" s="9"/>
    </row>
    <row r="65" spans="1:3" x14ac:dyDescent="0.3">
      <c r="A65">
        <f>COUNTIF(bike_buyers!H:H,"Yes")</f>
        <v>683</v>
      </c>
    </row>
    <row r="70" spans="1:3" x14ac:dyDescent="0.3">
      <c r="B70" s="3" t="s">
        <v>39</v>
      </c>
      <c r="C70" t="s">
        <v>49</v>
      </c>
    </row>
    <row r="71" spans="1:3" x14ac:dyDescent="0.3">
      <c r="B71" s="4" t="s">
        <v>34</v>
      </c>
      <c r="C71" s="10">
        <v>489</v>
      </c>
    </row>
    <row r="72" spans="1:3" x14ac:dyDescent="0.3">
      <c r="B72" s="4" t="s">
        <v>35</v>
      </c>
      <c r="C72" s="10">
        <v>511</v>
      </c>
    </row>
    <row r="73" spans="1:3" x14ac:dyDescent="0.3">
      <c r="B73" s="4" t="s">
        <v>38</v>
      </c>
      <c r="C73" s="10">
        <v>1000</v>
      </c>
    </row>
    <row r="77" spans="1:3" x14ac:dyDescent="0.3">
      <c r="A77" s="3" t="s">
        <v>39</v>
      </c>
      <c r="B77" t="s">
        <v>50</v>
      </c>
    </row>
    <row r="78" spans="1:3" x14ac:dyDescent="0.3">
      <c r="A78" s="4">
        <v>25</v>
      </c>
      <c r="B78" s="10">
        <v>6</v>
      </c>
    </row>
    <row r="79" spans="1:3" x14ac:dyDescent="0.3">
      <c r="A79" s="4">
        <v>26</v>
      </c>
      <c r="B79" s="10">
        <v>16</v>
      </c>
    </row>
    <row r="80" spans="1:3" x14ac:dyDescent="0.3">
      <c r="A80" s="4">
        <v>27</v>
      </c>
      <c r="B80" s="10">
        <v>23</v>
      </c>
    </row>
    <row r="81" spans="1:2" x14ac:dyDescent="0.3">
      <c r="A81" s="4">
        <v>28</v>
      </c>
      <c r="B81" s="10">
        <v>22</v>
      </c>
    </row>
    <row r="82" spans="1:2" x14ac:dyDescent="0.3">
      <c r="A82" s="4">
        <v>29</v>
      </c>
      <c r="B82" s="10">
        <v>16</v>
      </c>
    </row>
    <row r="83" spans="1:2" x14ac:dyDescent="0.3">
      <c r="A83" s="4">
        <v>30</v>
      </c>
      <c r="B83" s="10">
        <v>27</v>
      </c>
    </row>
    <row r="84" spans="1:2" x14ac:dyDescent="0.3">
      <c r="A84" s="4">
        <v>31</v>
      </c>
      <c r="B84" s="10">
        <v>25</v>
      </c>
    </row>
    <row r="85" spans="1:2" x14ac:dyDescent="0.3">
      <c r="A85" s="4">
        <v>32</v>
      </c>
      <c r="B85" s="10">
        <v>33</v>
      </c>
    </row>
    <row r="86" spans="1:2" x14ac:dyDescent="0.3">
      <c r="A86" s="4">
        <v>33</v>
      </c>
      <c r="B86" s="10">
        <v>21</v>
      </c>
    </row>
    <row r="87" spans="1:2" x14ac:dyDescent="0.3">
      <c r="A87" s="4">
        <v>34</v>
      </c>
      <c r="B87" s="10">
        <v>31</v>
      </c>
    </row>
    <row r="88" spans="1:2" x14ac:dyDescent="0.3">
      <c r="A88" s="4">
        <v>35</v>
      </c>
      <c r="B88" s="10">
        <v>36</v>
      </c>
    </row>
    <row r="89" spans="1:2" x14ac:dyDescent="0.3">
      <c r="A89" s="4">
        <v>36</v>
      </c>
      <c r="B89" s="10">
        <v>37</v>
      </c>
    </row>
    <row r="90" spans="1:2" x14ac:dyDescent="0.3">
      <c r="A90" s="4">
        <v>37</v>
      </c>
      <c r="B90" s="10">
        <v>32</v>
      </c>
    </row>
    <row r="91" spans="1:2" x14ac:dyDescent="0.3">
      <c r="A91" s="4">
        <v>38</v>
      </c>
      <c r="B91" s="10">
        <v>37</v>
      </c>
    </row>
    <row r="92" spans="1:2" x14ac:dyDescent="0.3">
      <c r="A92" s="4">
        <v>39</v>
      </c>
      <c r="B92" s="10">
        <v>22</v>
      </c>
    </row>
    <row r="93" spans="1:2" x14ac:dyDescent="0.3">
      <c r="A93" s="4">
        <v>40</v>
      </c>
      <c r="B93" s="10">
        <v>42</v>
      </c>
    </row>
    <row r="94" spans="1:2" x14ac:dyDescent="0.3">
      <c r="A94" s="4">
        <v>41</v>
      </c>
      <c r="B94" s="10">
        <v>28</v>
      </c>
    </row>
    <row r="95" spans="1:2" x14ac:dyDescent="0.3">
      <c r="A95" s="4">
        <v>42</v>
      </c>
      <c r="B95" s="10">
        <v>34</v>
      </c>
    </row>
    <row r="96" spans="1:2" x14ac:dyDescent="0.3">
      <c r="A96" s="4">
        <v>43</v>
      </c>
      <c r="B96" s="10">
        <v>36</v>
      </c>
    </row>
    <row r="97" spans="1:2" x14ac:dyDescent="0.3">
      <c r="A97" s="4">
        <v>44</v>
      </c>
      <c r="B97" s="10">
        <v>27</v>
      </c>
    </row>
    <row r="98" spans="1:2" x14ac:dyDescent="0.3">
      <c r="A98" s="4">
        <v>45</v>
      </c>
      <c r="B98" s="10">
        <v>31</v>
      </c>
    </row>
    <row r="99" spans="1:2" x14ac:dyDescent="0.3">
      <c r="A99" s="4">
        <v>46</v>
      </c>
      <c r="B99" s="10">
        <v>27</v>
      </c>
    </row>
    <row r="100" spans="1:2" x14ac:dyDescent="0.3">
      <c r="A100" s="4">
        <v>47</v>
      </c>
      <c r="B100" s="10">
        <v>39</v>
      </c>
    </row>
    <row r="101" spans="1:2" x14ac:dyDescent="0.3">
      <c r="A101" s="4">
        <v>48</v>
      </c>
      <c r="B101" s="10">
        <v>29</v>
      </c>
    </row>
    <row r="102" spans="1:2" x14ac:dyDescent="0.3">
      <c r="A102" s="4">
        <v>49</v>
      </c>
      <c r="B102" s="10">
        <v>23</v>
      </c>
    </row>
    <row r="103" spans="1:2" x14ac:dyDescent="0.3">
      <c r="A103" s="4">
        <v>50</v>
      </c>
      <c r="B103" s="10">
        <v>24</v>
      </c>
    </row>
    <row r="104" spans="1:2" x14ac:dyDescent="0.3">
      <c r="A104" s="4">
        <v>51</v>
      </c>
      <c r="B104" s="10">
        <v>22</v>
      </c>
    </row>
    <row r="105" spans="1:2" x14ac:dyDescent="0.3">
      <c r="A105" s="4">
        <v>52</v>
      </c>
      <c r="B105" s="10">
        <v>25</v>
      </c>
    </row>
    <row r="106" spans="1:2" x14ac:dyDescent="0.3">
      <c r="A106" s="4">
        <v>53</v>
      </c>
      <c r="B106" s="10">
        <v>24</v>
      </c>
    </row>
    <row r="107" spans="1:2" x14ac:dyDescent="0.3">
      <c r="A107" s="4">
        <v>54</v>
      </c>
      <c r="B107" s="10">
        <v>16</v>
      </c>
    </row>
    <row r="108" spans="1:2" x14ac:dyDescent="0.3">
      <c r="A108" s="4">
        <v>55</v>
      </c>
      <c r="B108" s="10">
        <v>18</v>
      </c>
    </row>
    <row r="109" spans="1:2" x14ac:dyDescent="0.3">
      <c r="A109" s="4">
        <v>56</v>
      </c>
      <c r="B109" s="10">
        <v>16</v>
      </c>
    </row>
    <row r="110" spans="1:2" x14ac:dyDescent="0.3">
      <c r="A110" s="4">
        <v>57</v>
      </c>
      <c r="B110" s="10">
        <v>8</v>
      </c>
    </row>
    <row r="111" spans="1:2" x14ac:dyDescent="0.3">
      <c r="A111" s="4">
        <v>58</v>
      </c>
      <c r="B111" s="10">
        <v>12</v>
      </c>
    </row>
    <row r="112" spans="1:2" x14ac:dyDescent="0.3">
      <c r="A112" s="4">
        <v>59</v>
      </c>
      <c r="B112" s="10">
        <v>20</v>
      </c>
    </row>
    <row r="113" spans="1:2" x14ac:dyDescent="0.3">
      <c r="A113" s="4">
        <v>60</v>
      </c>
      <c r="B113" s="10">
        <v>15</v>
      </c>
    </row>
    <row r="114" spans="1:2" x14ac:dyDescent="0.3">
      <c r="A114" s="4">
        <v>61</v>
      </c>
      <c r="B114" s="10">
        <v>9</v>
      </c>
    </row>
    <row r="115" spans="1:2" x14ac:dyDescent="0.3">
      <c r="A115" s="4">
        <v>62</v>
      </c>
      <c r="B115" s="10">
        <v>13</v>
      </c>
    </row>
    <row r="116" spans="1:2" x14ac:dyDescent="0.3">
      <c r="A116" s="4">
        <v>63</v>
      </c>
      <c r="B116" s="10">
        <v>9</v>
      </c>
    </row>
    <row r="117" spans="1:2" x14ac:dyDescent="0.3">
      <c r="A117" s="4">
        <v>64</v>
      </c>
      <c r="B117" s="10">
        <v>10</v>
      </c>
    </row>
    <row r="118" spans="1:2" x14ac:dyDescent="0.3">
      <c r="A118" s="4">
        <v>65</v>
      </c>
      <c r="B118" s="10">
        <v>9</v>
      </c>
    </row>
    <row r="119" spans="1:2" x14ac:dyDescent="0.3">
      <c r="A119" s="4">
        <v>66</v>
      </c>
      <c r="B119" s="10">
        <v>14</v>
      </c>
    </row>
    <row r="120" spans="1:2" x14ac:dyDescent="0.3">
      <c r="A120" s="4">
        <v>67</v>
      </c>
      <c r="B120" s="10">
        <v>10</v>
      </c>
    </row>
    <row r="121" spans="1:2" x14ac:dyDescent="0.3">
      <c r="A121" s="4">
        <v>68</v>
      </c>
      <c r="B121" s="10">
        <v>3</v>
      </c>
    </row>
    <row r="122" spans="1:2" x14ac:dyDescent="0.3">
      <c r="A122" s="4">
        <v>69</v>
      </c>
      <c r="B122" s="10">
        <v>8</v>
      </c>
    </row>
    <row r="123" spans="1:2" x14ac:dyDescent="0.3">
      <c r="A123" s="4">
        <v>70</v>
      </c>
      <c r="B123" s="10">
        <v>4</v>
      </c>
    </row>
    <row r="124" spans="1:2" x14ac:dyDescent="0.3">
      <c r="A124" s="4">
        <v>71</v>
      </c>
      <c r="B124" s="10">
        <v>1</v>
      </c>
    </row>
    <row r="125" spans="1:2" x14ac:dyDescent="0.3">
      <c r="A125" s="4">
        <v>72</v>
      </c>
      <c r="B125" s="10">
        <v>1</v>
      </c>
    </row>
    <row r="126" spans="1:2" x14ac:dyDescent="0.3">
      <c r="A126" s="4">
        <v>73</v>
      </c>
      <c r="B126" s="10">
        <v>4</v>
      </c>
    </row>
    <row r="127" spans="1:2" x14ac:dyDescent="0.3">
      <c r="A127" s="4">
        <v>74</v>
      </c>
      <c r="B127" s="10">
        <v>1</v>
      </c>
    </row>
    <row r="128" spans="1:2" x14ac:dyDescent="0.3">
      <c r="A128" s="4">
        <v>78</v>
      </c>
      <c r="B128" s="10">
        <v>2</v>
      </c>
    </row>
    <row r="129" spans="1:2" x14ac:dyDescent="0.3">
      <c r="A129" s="4">
        <v>80</v>
      </c>
      <c r="B129" s="10">
        <v>1</v>
      </c>
    </row>
    <row r="130" spans="1:2" x14ac:dyDescent="0.3">
      <c r="A130" s="4">
        <v>89</v>
      </c>
      <c r="B130" s="10">
        <v>1</v>
      </c>
    </row>
    <row r="131" spans="1:2" x14ac:dyDescent="0.3">
      <c r="A131" s="4" t="s">
        <v>38</v>
      </c>
      <c r="B131" s="10">
        <v>1000</v>
      </c>
    </row>
  </sheetData>
  <mergeCells count="2">
    <mergeCell ref="A61:B61"/>
    <mergeCell ref="A64:B64"/>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DDAD-7547-434F-9F4C-AB0948FA7231}">
  <dimension ref="A1:O4"/>
  <sheetViews>
    <sheetView showGridLines="0" tabSelected="1" zoomScaleNormal="100" workbookViewId="0">
      <selection activeCell="Y10" sqref="Y10"/>
    </sheetView>
  </sheetViews>
  <sheetFormatPr defaultRowHeight="14.4" x14ac:dyDescent="0.3"/>
  <cols>
    <col min="1" max="16384" width="8.88671875" style="6"/>
  </cols>
  <sheetData>
    <row r="1" spans="1:15" ht="14.4" customHeight="1" x14ac:dyDescent="0.3">
      <c r="A1" s="7" t="s">
        <v>46</v>
      </c>
      <c r="B1" s="8"/>
      <c r="C1" s="8"/>
      <c r="D1" s="8"/>
      <c r="E1" s="8"/>
      <c r="F1" s="8"/>
      <c r="G1" s="8"/>
      <c r="H1" s="5"/>
      <c r="I1" s="5"/>
      <c r="J1" s="5"/>
      <c r="K1" s="5"/>
      <c r="L1" s="5"/>
      <c r="M1" s="5"/>
      <c r="N1" s="5"/>
      <c r="O1" s="5"/>
    </row>
    <row r="2" spans="1:15" x14ac:dyDescent="0.3">
      <c r="A2" s="8"/>
      <c r="B2" s="8"/>
      <c r="C2" s="8"/>
      <c r="D2" s="8"/>
      <c r="E2" s="8"/>
      <c r="F2" s="8"/>
      <c r="G2" s="8"/>
      <c r="H2" s="5">
        <f>'Pivot Table'!A62</f>
        <v>481</v>
      </c>
      <c r="I2" s="5"/>
      <c r="J2" s="5"/>
      <c r="K2" s="5"/>
      <c r="L2" s="5"/>
      <c r="M2" s="5">
        <f>'Pivot Table'!A65</f>
        <v>683</v>
      </c>
      <c r="N2" s="5"/>
      <c r="O2" s="5"/>
    </row>
    <row r="3" spans="1:15" x14ac:dyDescent="0.3">
      <c r="A3" s="8"/>
      <c r="B3" s="8"/>
      <c r="C3" s="8"/>
      <c r="D3" s="8"/>
      <c r="E3" s="8"/>
      <c r="F3" s="8"/>
      <c r="G3" s="8"/>
      <c r="H3" s="5"/>
      <c r="I3" s="5"/>
      <c r="J3" s="5"/>
      <c r="K3" s="5"/>
      <c r="L3" s="5"/>
      <c r="M3" s="5"/>
      <c r="N3" s="5"/>
      <c r="O3" s="5"/>
    </row>
    <row r="4" spans="1:15" x14ac:dyDescent="0.3">
      <c r="A4" s="8"/>
      <c r="B4" s="8"/>
      <c r="C4" s="8"/>
      <c r="D4" s="8"/>
      <c r="E4" s="8"/>
      <c r="F4" s="8"/>
      <c r="G4" s="8"/>
      <c r="H4" s="5"/>
      <c r="I4" s="5"/>
      <c r="J4" s="5"/>
      <c r="K4" s="5"/>
      <c r="L4" s="5"/>
      <c r="M4" s="5"/>
      <c r="N4" s="5"/>
      <c r="O4" s="5"/>
    </row>
  </sheetData>
  <mergeCells count="1">
    <mergeCell ref="A1:G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Atyyyychos</dc:creator>
  <cp:lastModifiedBy>abhishek luitel</cp:lastModifiedBy>
  <dcterms:created xsi:type="dcterms:W3CDTF">2022-03-18T02:50:57Z</dcterms:created>
  <dcterms:modified xsi:type="dcterms:W3CDTF">2026-04-06T15:28:52Z</dcterms:modified>
</cp:coreProperties>
</file>